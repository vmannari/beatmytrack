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comments1.xml" ContentType="application/vnd.openxmlformats-officedocument.spreadsheetml.comments+xml"/>
  <Override PartName="/xl/threadedcomments/threadedcomment.xml" ContentType="application/vnd.ms-excel.threaded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8.xml" ContentType="application/vnd.openxmlformats-officedocument.spreadsheetml.worksheet+xml"/>
  <Override PartName="/xl/worksheets/sheet9.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77f05668b13241a2" /></Relationships>
</file>

<file path=xl/workbook.xml><?xml version="1.0" encoding="utf-8"?>
<x:workbook xmlns:x="http://schemas.openxmlformats.org/spreadsheetml/2006/main">
  <x:sheets>
    <x:sheet xmlns:r="http://schemas.openxmlformats.org/officeDocument/2006/relationships" name="Read me" sheetId="1" r:id="Rb9766f3d38bf430f"/>
    <x:sheet xmlns:r="http://schemas.openxmlformats.org/officeDocument/2006/relationships" name="Assumptions" sheetId="2" r:id="R29dba54435034150"/>
    <x:sheet xmlns:r="http://schemas.openxmlformats.org/officeDocument/2006/relationships" name="Retention" sheetId="3" r:id="R912a7651fd614190"/>
    <x:sheet xmlns:r="http://schemas.openxmlformats.org/officeDocument/2006/relationships" name="Low case" sheetId="4" r:id="R356e785d68734959"/>
    <x:sheet xmlns:r="http://schemas.openxmlformats.org/officeDocument/2006/relationships" name="Base case" sheetId="5" r:id="R50539542168e480d"/>
    <x:sheet xmlns:r="http://schemas.openxmlformats.org/officeDocument/2006/relationships" name="Strong case" sheetId="6" r:id="Rfbbf9288a8104fad"/>
    <x:sheet xmlns:r="http://schemas.openxmlformats.org/officeDocument/2006/relationships" name="Dashboard" sheetId="7" r:id="R33fbf40a14304fb3"/>
    <x:sheet xmlns:r="http://schemas.openxmlformats.org/officeDocument/2006/relationships" name="Unit economics" sheetId="8" r:id="R1f0aa27c2b1b46e5"/>
    <x:sheet xmlns:r="http://schemas.openxmlformats.org/officeDocument/2006/relationships" name="Sources" sheetId="9" r:id="R3252fdf68c0a4107"/>
  </x:sheets>
</x:workbook>
</file>

<file path=xl/comments1.xml><?xml version="1.0" encoding="utf-8"?>
<x:comments xmlns:x="http://schemas.openxmlformats.org/spreadsheetml/2006/main">
  <x:authors>
    <x:author>tc={2DA82188-8A74-2BF7-8C09-FCB1BE1CE208}</x:author>
    <x:author>tc={0E74114F-3E2F-7AB2-AB1D-8779CAC82517}</x:author>
    <x:author>tc={4DAA6EE4-CCD3-3C0C-3A3B-B71F102771A2}</x:author>
    <x:author>tc={D2893424-2708-9566-39DA-6B0EFEDC6109}</x:author>
    <x:author>tc={2FE36E59-021E-90BA-BC05-40CC5304BE12}</x:author>
    <x:author>tc={F9D35551-1A52-44C2-3C91-E40B0506EF8D}</x:author>
    <x:author>tc={280C6908-C1D8-C386-E3C5-ADA385546BB3}</x:author>
    <x:author>tc={38CC5CE7-85CE-CCA9-4A93-DA8CAB8A5B40}</x:author>
    <x:author>tc={6967FD4B-18FD-1AC6-6A83-CEDD92935A7B}</x:author>
    <x:author>tc={86CB8F21-0BA2-743B-3103-E1E876BC4B88}</x:author>
    <x:author>tc={4B8B5745-8CAD-8D0F-BCDC-076FD06A1E79}</x:author>
    <x:author>tc={D1CDF3B5-7966-45F4-A370-6484751AC2C6}</x:author>
    <x:author>tc={324049F0-22C6-93ED-57DD-27986847E8AF}</x:author>
    <x:author>tc={E547D67C-D3D7-17D5-4C6F-E228B0ADC2CB}</x:author>
    <x:author>tc={9D8EC465-FC79-563F-AEF7-045421C3C531}</x:author>
    <x:author>tc={2048DA4B-5749-14E1-BF81-A1D7A6C09AE2}</x:author>
    <x:author>tc={E1EC2753-B564-5B2C-EC6F-88FA2803A942}</x:author>
    <x:author>tc={BFD72AB0-471E-C1D2-9486-80FCF684F93F}</x:author>
    <x:author>tc={26D22C30-E2BB-9D34-2D56-87B41248FBF4}</x:author>
    <x:author>tc={6128FD59-7053-0D50-EE48-8A6FE4E80BD4}</x:author>
    <x:author>tc={B683CF48-3FEF-C6DA-02BD-08569FC480B0}</x:author>
    <x:author>tc={F18E78E7-9F8A-7908-0F6D-4CD49BA54C5D}</x:author>
    <x:author>tc={D315F330-3927-52DB-7212-A15D499102B0}</x:author>
    <x:author>tc={07A67CAF-A677-B5BE-07AE-7A89C20C15A6}</x:author>
    <x:author>tc={68CB2F94-6DD4-34B8-0306-165E8F0B60D2}</x:author>
    <x:author>tc={3A12F1D0-FB91-3DC3-0D3C-6689899419CE}</x:author>
    <x:author>tc={89769A65-C03D-D9C6-2A78-BC7C22BFFB0C}</x:author>
    <x:author>tc={091FB18E-0850-710C-E642-68FAB54A0ED5}</x:author>
    <x:author>tc={0CB2987C-C15F-DFA9-978B-49F7F968DD23}</x:author>
    <x:author>tc={DD548871-0985-4891-19D1-97A2B9D071BC}</x:author>
    <x:author>tc={59447EFC-1781-D11E-8C12-2946ADA28930}</x:author>
    <x:author>tc={D8358443-D799-350C-CFAF-404B0074C39E}</x:author>
    <x:author>tc={3AED8EB9-FAE0-3F41-9C94-393357A7E973}</x:author>
    <x:author>tc={0E2B969B-F78D-EA8F-B8B5-A15A4B75BDD7}</x:author>
    <x:author>tc={10D104A2-B940-A18F-96CB-55C3ABCEB79D}</x:author>
    <x:author>tc={A2664418-99F3-30DD-E61B-414FF225C295}</x:author>
    <x:author>tc={1FBE31EB-0519-705B-1826-59F2F15D6485}</x:author>
    <x:author>tc={04568877-0F7B-5A2C-574F-7A05DB9074F2}</x:author>
    <x:author>tc={B4298214-60DC-49E0-860E-A1174B39540F}</x:author>
    <x:author>tc={531BDF92-C5E9-BCD2-3766-7C7054D3E15A}</x:author>
    <x:author>tc={CCBB1639-FC09-4E35-35C2-294C36DA82F1}</x:author>
    <x:author>tc={50B2ADF1-E1B3-FA89-15F1-331936BF4F4D}</x:author>
    <x:author>tc={E7A153AE-DC56-CF73-5F23-5BACDDB99C80}</x:author>
    <x:author>tc={FECEF557-796E-5EEA-F508-5BF6F2EFD80B}</x:author>
    <x:author>tc={F47C561D-5E83-AAF6-1817-0E70DCE9DC61}</x:author>
    <x:author>tc={5A720E43-415A-5787-6921-5F123CE47546}</x:author>
    <x:author>tc={E4CE4286-6E13-FC1C-1A0D-D77D8C8652DA}</x:author>
    <x:author>tc={375D8B0E-0FDC-D96A-4F7D-16289D27A8CB}</x:author>
    <x:author>tc={D203F11C-6B72-33D6-6C67-AB08A41D6001}</x:author>
    <x:author>tc={02692B6B-AFEF-5557-6EFF-E0CD565C8F65}</x:author>
    <x:author>tc={D21B5606-5A8B-4563-F3DB-4F03732ABACF}</x:author>
    <x:author>tc={8D053F60-AF83-3EA2-5DEE-96CC996CE8F8}</x:author>
    <x:author>tc={98A20A43-7FCA-9AE1-65E4-26DA84CD260D}</x:author>
    <x:author>tc={C589E140-87A5-9EA7-22BA-CB8A58476269}</x:author>
    <x:author>tc={AB48FD99-6483-F1C2-7D2B-0B48184DF4B4}</x:author>
    <x:author>tc={AE80540B-5225-130E-7D07-10B16D3C904D}</x:author>
    <x:author>tc={9C72D8C3-81D6-ED5A-986F-B490EBB202F3}</x:author>
    <x:author>tc={3376AD87-8305-BB26-052E-F1A5A10206EA}</x:author>
    <x:author>tc={7DB9022F-60F3-DC01-4634-6056EDB49FFF}</x:author>
    <x:author>tc={256D5A97-4646-F0CB-2D8A-E62CC2CFE353}</x:author>
    <x:author>tc={B8D8E7BC-A9C4-A74F-BFCA-E7BD015700EF}</x:author>
    <x:author>tc={642C3255-C1AA-836E-458B-C4FF0089E364}</x:author>
    <x:author>tc={5A9884D2-D357-570C-E609-9BCA00D18176}</x:author>
    <x:author>tc={7918D7F4-4103-CC38-FC0A-7FDFF3A89E14}</x:author>
    <x:author>tc={4763BE7B-D68F-8339-0EA8-C8BD7E1F9EB4}</x:author>
    <x:author>tc={264F52CE-9BAD-87B8-C7B7-71ECFFA3E4FF}</x:author>
    <x:author>tc={C90AA4E1-0A61-6DB6-AF5A-26AE3243B818}</x:author>
    <x:author>tc={6702C476-DDD0-52BE-9319-7FD8E995F9DD}</x:author>
    <x:author>tc={44D838D9-3B54-40E7-DDE2-ABA90C69EF4D}</x:author>
    <x:author>tc={0FBFD26D-F295-D6CB-5A90-DB7B1EF1CE92}</x:author>
    <x:author>tc={D5047F58-9355-1978-80DB-E7734013C1DB}</x:author>
    <x:author>tc={CDAD433E-7A50-A66D-4EFC-3912AFE7C9C9}</x:author>
    <x:author>tc={75D00BE0-BC78-17BC-DC2C-6E1B6F706736}</x:author>
    <x:author>tc={A40A3542-74B2-6A78-6534-742B558E6F75}</x:author>
    <x:author>tc={0ED69F09-C38A-3289-9831-07B0DC515546}</x:author>
    <x:author>tc={A1A8BED1-5163-128A-3F3E-17FF7C16B8EA}</x:author>
    <x:author>tc={3E9318E7-6754-CA2B-A557-29509B2DE81D}</x:author>
    <x:author>tc={7558CBA6-FECC-3935-8520-6757757BE8AC}</x:author>
    <x:author>tc={D07E3827-0960-EC1F-D5CB-B68BEE94D588}</x:author>
    <x:author>tc={4E00901E-9ED3-1953-A207-C81C5AD27138}</x:author>
    <x:author>tc={EEFD42DA-918C-FB8C-6486-C33E0929C23D}</x:author>
    <x:author>tc={7A80F32F-B12E-6116-EBC0-B3877DF5D3BE}</x:author>
    <x:author>tc={A01886B1-A328-1F33-BDF0-FD464A3FF1B4}</x:author>
    <x:author>tc={C4423B3E-715F-7EEA-42BB-6B405AE5DCB5}</x:author>
    <x:author>tc={BBBF9A19-07E6-0D39-D178-A013BB72C430}</x:author>
    <x:author>tc={547EE642-5D8E-C57A-7B2E-E3A7299A5ED2}</x:author>
    <x:author>tc={C39DDBEA-3211-F811-4DAC-ACC6B50D43C6}</x:author>
    <x:author>tc={FDAB11F5-A47E-387B-462C-72E37A628930}</x:author>
    <x:author>tc={1508CC96-2A73-0C5B-0A8C-0645B15C4B6D}</x:author>
    <x:author>tc={62E43251-6285-6439-C1AA-D97C21790467}</x:author>
    <x:author>tc={0A07C5CF-CA08-6059-88D0-B8370D6E7876}</x:author>
    <x:author>tc={E8A9B66E-F0FE-31AA-A4D6-C116BB8B4F15}</x:author>
    <x:author>tc={C2E70640-FE66-0B90-A85D-3F43695BDFF9}</x:author>
  </x:authors>
  <x:commentList>
    <x:comment ref="B6" authorId="0">
      <x:text>
        <x:r>
          <x:t>[Threaded comment]
Your version of Excel allows you to read this threaded comment; however, any edits to it will get removed if the file is opened in a newer version of Excel. Learn more: https://go.microsoft.com/fwlink/?linkid=870924
Comment:
    Planning scenario; not a forecast.</x:t>
        </x:r>
      </x:text>
    </x:comment>
    <x:comment ref="C6" authorId="1">
      <x:text>
        <x:r>
          <x:t>[Threaded comment]
Your version of Excel allows you to read this threaded comment; however, any edits to it will get removed if the file is opened in a newer version of Excel. Learn more: https://go.microsoft.com/fwlink/?linkid=870924
Comment:
    Planning scenario; not a forecast or market benchmark.</x:t>
        </x:r>
      </x:text>
    </x:comment>
    <x:comment ref="D6" authorId="2">
      <x:text>
        <x:r>
          <x:t>[Threaded comment]
Your version of Excel allows you to read this threaded comment; however, any edits to it will get removed if the file is opened in a newer version of Excel. Learn more: https://go.microsoft.com/fwlink/?linkid=870924
Comment:
    Planning scenario; not a forecast or market benchmark.</x:t>
        </x:r>
      </x:text>
    </x:comment>
    <x:comment ref="B7" authorId="3">
      <x:text>
        <x:r>
          <x:t>[Threaded comment]
Your version of Excel allows you to read this threaded comment; however, any edits to it will get removed if the file is opened in a newer version of Excel. Learn more: https://go.microsoft.com/fwlink/?linkid=870924
Comment:
    Planning assumption; no paid-acquisition lift is assumed.</x:t>
        </x:r>
      </x:text>
    </x:comment>
    <x:comment ref="C7" authorId="4">
      <x:text>
        <x:r>
          <x:t>[Threaded comment]
Your version of Excel allows you to read this threaded comment; however, any edits to it will get removed if the file is opened in a newer version of Excel. Learn more: https://go.microsoft.com/fwlink/?linkid=870924
Comment:
    Planning assumption; no paid-acquisition lift is assumed.</x:t>
        </x:r>
      </x:text>
    </x:comment>
    <x:comment ref="D7" authorId="5">
      <x:text>
        <x:r>
          <x:t>[Threaded comment]
Your version of Excel allows you to read this threaded comment; however, any edits to it will get removed if the file is opened in a newer version of Excel. Learn more: https://go.microsoft.com/fwlink/?linkid=870924
Comment:
    Planning assumption; no paid-acquisition lift is assumed.</x:t>
        </x:r>
      </x:text>
    </x:comment>
    <x:comment ref="B8" authorId="6">
      <x:text>
        <x:r>
          <x:t>[Threaded comment]
Your version of Excel allows you to read this threaded comment; however, any edits to it will get removed if the file is opened in a newer version of Excel. Learn more: https://go.microsoft.com/fwlink/?linkid=870924
Comment:
    First-30-day, one-time conversion of ALL installs; hypothesis, not measured.</x:t>
        </x:r>
      </x:text>
    </x:comment>
    <x:comment ref="C8" authorId="7">
      <x:text>
        <x:r>
          <x:t>[Threaded comment]
Your version of Excel allows you to read this threaded comment; however, any edits to it will get removed if the file is opened in a newer version of Excel. Learn more: https://go.microsoft.com/fwlink/?linkid=870924
Comment:
    First-30-day, one-time conversion of ALL installs; hypothesis, not measured.</x:t>
        </x:r>
      </x:text>
    </x:comment>
    <x:comment ref="D8" authorId="8">
      <x:text>
        <x:r>
          <x:t>[Threaded comment]
Your version of Excel allows you to read this threaded comment; however, any edits to it will get removed if the file is opened in a newer version of Excel. Learn more: https://go.microsoft.com/fwlink/?linkid=870924
Comment:
    First-30-day, one-time conversion of ALL installs; hypothesis, not measured.</x:t>
        </x:r>
      </x:text>
    </x:comment>
    <x:comment ref="B9" authorId="9">
      <x:text>
        <x:r>
          <x:t>[Threaded comment]
Your version of Excel allows you to read this threaded comment; however, any edits to it will get removed if the file is opened in a newer version of Excel. Learn more: https://go.microsoft.com/fwlink/?linkid=870924
Comment:
    Proposed price; local store prices may differ.</x:t>
        </x:r>
      </x:text>
    </x:comment>
    <x:comment ref="C9" authorId="10">
      <x:text>
        <x:r>
          <x:t>[Threaded comment]
Your version of Excel allows you to read this threaded comment; however, any edits to it will get removed if the file is opened in a newer version of Excel. Learn more: https://go.microsoft.com/fwlink/?linkid=870924
Comment:
    Proposed price; local store prices may differ.</x:t>
        </x:r>
      </x:text>
    </x:comment>
    <x:comment ref="D9" authorId="11">
      <x:text>
        <x:r>
          <x:t>[Threaded comment]
Your version of Excel allows you to read this threaded comment; however, any edits to it will get removed if the file is opened in a newer version of Excel. Learn more: https://go.microsoft.com/fwlink/?linkid=870924
Comment:
    Proposed price; local store prices may differ.</x:t>
        </x:r>
      </x:text>
    </x:comment>
    <x:comment ref="B10" authorId="12">
      <x:text>
        <x:r>
          <x:t>[Threaded comment]
Your version of Excel allows you to read this threaded comment; however, any edits to it will get removed if the file is opened in a newer version of Excel. Learn more: https://go.microsoft.com/fwlink/?linkid=870924
Comment:
    First-30-day cosmetic buyer conversion of ALL installs; may overlap Creator buyers.</x:t>
        </x:r>
      </x:text>
    </x:comment>
    <x:comment ref="C10" authorId="13">
      <x:text>
        <x:r>
          <x:t>[Threaded comment]
Your version of Excel allows you to read this threaded comment; however, any edits to it will get removed if the file is opened in a newer version of Excel. Learn more: https://go.microsoft.com/fwlink/?linkid=870924
Comment:
    First-30-day cosmetic buyer conversion of ALL installs; may overlap Creator buyers.</x:t>
        </x:r>
      </x:text>
    </x:comment>
    <x:comment ref="D10" authorId="14">
      <x:text>
        <x:r>
          <x:t>[Threaded comment]
Your version of Excel allows you to read this threaded comment; however, any edits to it will get removed if the file is opened in a newer version of Excel. Learn more: https://go.microsoft.com/fwlink/?linkid=870924
Comment:
    First-30-day cosmetic buyer conversion of ALL installs; may overlap Creator buyers.</x:t>
        </x:r>
      </x:text>
    </x:comment>
    <x:comment ref="B11" authorId="15">
      <x:text>
        <x:r>
          <x:t>[Threaded comment]
Your version of Excel allows you to read this threaded comment; however, any edits to it will get removed if the file is opened in a newer version of Excel. Learn more: https://go.microsoft.com/fwlink/?linkid=870924
Comment:
    One initial basket per converted install; no recurring cosmetic revenue included.</x:t>
        </x:r>
      </x:text>
    </x:comment>
    <x:comment ref="C11" authorId="16">
      <x:text>
        <x:r>
          <x:t>[Threaded comment]
Your version of Excel allows you to read this threaded comment; however, any edits to it will get removed if the file is opened in a newer version of Excel. Learn more: https://go.microsoft.com/fwlink/?linkid=870924
Comment:
    One initial basket per converted install; no recurring cosmetic revenue included.</x:t>
        </x:r>
      </x:text>
    </x:comment>
    <x:comment ref="D11" authorId="17">
      <x:text>
        <x:r>
          <x:t>[Threaded comment]
Your version of Excel allows you to read this threaded comment; however, any edits to it will get removed if the file is opened in a newer version of Excel. Learn more: https://go.microsoft.com/fwlink/?linkid=870924
Comment:
    One initial basket per converted install; no recurring cosmetic revenue included.</x:t>
        </x:r>
      </x:text>
    </x:comment>
    <x:comment ref="B12" authorId="18">
      <x:text>
        <x:r>
          <x:t>[Threaded comment]
Your version of Excel allows you to read this threaded comment; however, any edits to it will get removed if the file is opened in a newer version of Excel. Learn more: https://go.microsoft.com/fwlink/?linkid=870924
Comment:
    Model assumption, NOT Finnish VAT or a jurisdictional tax rate; replace with actual sales mix.</x:t>
        </x:r>
      </x:text>
    </x:comment>
    <x:comment ref="C12" authorId="19">
      <x:text>
        <x:r>
          <x:t>[Threaded comment]
Your version of Excel allows you to read this threaded comment; however, any edits to it will get removed if the file is opened in a newer version of Excel. Learn more: https://go.microsoft.com/fwlink/?linkid=870924
Comment:
    Model assumption, NOT Finnish VAT or a jurisdictional tax rate; replace with actual sales mix.</x:t>
        </x:r>
      </x:text>
    </x:comment>
    <x:comment ref="D12" authorId="20">
      <x:text>
        <x:r>
          <x:t>[Threaded comment]
Your version of Excel allows you to read this threaded comment; however, any edits to it will get removed if the file is opened in a newer version of Excel. Learn more: https://go.microsoft.com/fwlink/?linkid=870924
Comment:
    Model assumption, NOT Finnish VAT or a jurisdictional tax rate; replace with actual sales mix.</x:t>
        </x:r>
      </x:text>
    </x:comment>
    <x:comment ref="B13" authorId="21">
      <x:text>
        <x:r>
          <x:t>[Threaded comment]
Your version of Excel allows you to read this threaded comment; however, any edits to it will get removed if the file is opened in a newer version of Excel. Learn more: https://go.microsoft.com/fwlink/?linkid=870924
Comment:
    Planning assumption; net sales reversed before platform-fee calculation.</x:t>
        </x:r>
      </x:text>
    </x:comment>
    <x:comment ref="C13" authorId="22">
      <x:text>
        <x:r>
          <x:t>[Threaded comment]
Your version of Excel allows you to read this threaded comment; however, any edits to it will get removed if the file is opened in a newer version of Excel. Learn more: https://go.microsoft.com/fwlink/?linkid=870924
Comment:
    Planning assumption; net sales reversed before platform-fee calculation.</x:t>
        </x:r>
      </x:text>
    </x:comment>
    <x:comment ref="D13" authorId="23">
      <x:text>
        <x:r>
          <x:t>[Threaded comment]
Your version of Excel allows you to read this threaded comment; however, any edits to it will get removed if the file is opened in a newer version of Excel. Learn more: https://go.microsoft.com/fwlink/?linkid=870924
Comment:
    Planning assumption; net sales reversed before platform-fee calculation.</x:t>
        </x:r>
      </x:text>
    </x:comment>
    <x:comment ref="B14" authorId="24">
      <x:text>
        <x:r>
          <x:t>[Threaded comment]
Your version of Excel allows you to read this threaded comment; however, any edits to it will get removed if the file is opened in a newer version of Excel. Learn more: https://go.microsoft.com/fwlink/?linkid=870924
Comment:
    Planning blended total. Official fees depend on eligibility, territory and programme. Source: https://support.google.com/googleplay/android-developer/answer/112622?hl=en</x:t>
        </x:r>
      </x:text>
    </x:comment>
    <x:comment ref="C14" authorId="25">
      <x:text>
        <x:r>
          <x:t>[Threaded comment]
Your version of Excel allows you to read this threaded comment; however, any edits to it will get removed if the file is opened in a newer version of Excel. Learn more: https://go.microsoft.com/fwlink/?linkid=870924
Comment:
    Planning blended total. Official fees depend on eligibility, territory and programme. Source: https://support.google.com/googleplay/android-developer/answer/112622?hl=en</x:t>
        </x:r>
      </x:text>
    </x:comment>
    <x:comment ref="D14" authorId="26">
      <x:text>
        <x:r>
          <x:t>[Threaded comment]
Your version of Excel allows you to read this threaded comment; however, any edits to it will get removed if the file is opened in a newer version of Excel. Learn more: https://go.microsoft.com/fwlink/?linkid=870924
Comment:
    Planning blended total. Official fees depend on eligibility, territory and programme. Source: https://support.google.com/googleplay/android-developer/answer/112622?hl=en</x:t>
        </x:r>
      </x:text>
    </x:comment>
    <x:comment ref="B15" authorId="27">
      <x:text>
        <x:r>
          <x:t>[Threaded comment]
Your version of Excel allows you to read this threaded comment; however, any edits to it will get removed if the file is opened in a newer version of Excel. Learn more: https://go.microsoft.com/fwlink/?linkid=870924
Comment:
    Planning engagement ratio; NOT D1 or D30 retention.</x:t>
        </x:r>
      </x:text>
    </x:comment>
    <x:comment ref="C15" authorId="28">
      <x:text>
        <x:r>
          <x:t>[Threaded comment]
Your version of Excel allows you to read this threaded comment; however, any edits to it will get removed if the file is opened in a newer version of Excel. Learn more: https://go.microsoft.com/fwlink/?linkid=870924
Comment:
    Planning engagement ratio; NOT D1 or D30 retention.</x:t>
        </x:r>
      </x:text>
    </x:comment>
    <x:comment ref="D15" authorId="29">
      <x:text>
        <x:r>
          <x:t>[Threaded comment]
Your version of Excel allows you to read this threaded comment; however, any edits to it will get removed if the file is opened in a newer version of Excel. Learn more: https://go.microsoft.com/fwlink/?linkid=870924
Comment:
    Planning engagement ratio; NOT D1 or D30 retention.</x:t>
        </x:r>
      </x:text>
    </x:comment>
    <x:comment ref="B16" authorId="30">
      <x:text>
        <x:r>
          <x:t>[Threaded comment]
Your version of Excel allows you to read this threaded comment; however, any edits to it will get removed if the file is opened in a newer version of Excel. Learn more: https://go.microsoft.com/fwlink/?linkid=870924
Comment:
    Disabled in recommended release. Optional sensitivity only; never required for performance progress.</x:t>
        </x:r>
      </x:text>
    </x:comment>
    <x:comment ref="C16" authorId="31">
      <x:text>
        <x:r>
          <x:t>[Threaded comment]
Your version of Excel allows you to read this threaded comment; however, any edits to it will get removed if the file is opened in a newer version of Excel. Learn more: https://go.microsoft.com/fwlink/?linkid=870924
Comment:
    Disabled in recommended release. Optional sensitivity only; never required for performance progress.</x:t>
        </x:r>
      </x:text>
    </x:comment>
    <x:comment ref="D16" authorId="32">
      <x:text>
        <x:r>
          <x:t>[Threaded comment]
Your version of Excel allows you to read this threaded comment; however, any edits to it will get removed if the file is opened in a newer version of Excel. Learn more: https://go.microsoft.com/fwlink/?linkid=870924
Comment:
    Disabled in recommended release. Optional sensitivity only; never required for performance progress.</x:t>
        </x:r>
      </x:text>
    </x:comment>
    <x:comment ref="B17" authorId="33">
      <x:text>
        <x:r>
          <x:t>[Threaded comment]
Your version of Excel allows you to read this threaded comment; however, any edits to it will get removed if the file is opened in a newer version of Excel. Learn more: https://go.microsoft.com/fwlink/?linkid=870924
Comment:
    Hypothesis; only used when ads enabled. No forced ads.</x:t>
        </x:r>
      </x:text>
    </x:comment>
    <x:comment ref="C17" authorId="34">
      <x:text>
        <x:r>
          <x:t>[Threaded comment]
Your version of Excel allows you to read this threaded comment; however, any edits to it will get removed if the file is opened in a newer version of Excel. Learn more: https://go.microsoft.com/fwlink/?linkid=870924
Comment:
    Hypothesis; only used when ads enabled. No forced ads.</x:t>
        </x:r>
      </x:text>
    </x:comment>
    <x:comment ref="D17" authorId="35">
      <x:text>
        <x:r>
          <x:t>[Threaded comment]
Your version of Excel allows you to read this threaded comment; however, any edits to it will get removed if the file is opened in a newer version of Excel. Learn more: https://go.microsoft.com/fwlink/?linkid=870924
Comment:
    Hypothesis; only used when ads enabled. No forced ads.</x:t>
        </x:r>
      </x:text>
    </x:comment>
    <x:comment ref="B18" authorId="36">
      <x:text>
        <x:r>
          <x:t>[Threaded comment]
Your version of Excel allows you to read this threaded comment; however, any edits to it will get removed if the file is opened in a newer version of Excel. Learn more: https://go.microsoft.com/fwlink/?linkid=870924
Comment:
    Sensitivity assumption, NOT a researched ad-market benchmark. No Play purchase commission on ad revenue.</x:t>
        </x:r>
      </x:text>
    </x:comment>
    <x:comment ref="C18" authorId="37">
      <x:text>
        <x:r>
          <x:t>[Threaded comment]
Your version of Excel allows you to read this threaded comment; however, any edits to it will get removed if the file is opened in a newer version of Excel. Learn more: https://go.microsoft.com/fwlink/?linkid=870924
Comment:
    Sensitivity assumption, NOT a researched ad-market benchmark. No Play purchase commission on ad revenue.</x:t>
        </x:r>
      </x:text>
    </x:comment>
    <x:comment ref="D18" authorId="38">
      <x:text>
        <x:r>
          <x:t>[Threaded comment]
Your version of Excel allows you to read this threaded comment; however, any edits to it will get removed if the file is opened in a newer version of Excel. Learn more: https://go.microsoft.com/fwlink/?linkid=870924
Comment:
    Sensitivity assumption, NOT a researched ad-market benchmark. No Play purchase commission on ad revenue.</x:t>
        </x:r>
      </x:text>
    </x:comment>
    <x:comment ref="B19" authorId="39">
      <x:text>
        <x:r>
          <x:t>[Threaded comment]
Your version of Excel allows you to read this threaded comment; however, any edits to it will get removed if the file is opened in a newer version of Excel. Learn more: https://go.microsoft.com/fwlink/?linkid=870924
Comment:
    Simplifying planning convention, not a calendar-month model.</x:t>
        </x:r>
      </x:text>
    </x:comment>
    <x:comment ref="C19" authorId="40">
      <x:text>
        <x:r>
          <x:t>[Threaded comment]
Your version of Excel allows you to read this threaded comment; however, any edits to it will get removed if the file is opened in a newer version of Excel. Learn more: https://go.microsoft.com/fwlink/?linkid=870924
Comment:
    Simplifying planning convention, not a calendar-month model.</x:t>
        </x:r>
      </x:text>
    </x:comment>
    <x:comment ref="D19" authorId="41">
      <x:text>
        <x:r>
          <x:t>[Threaded comment]
Your version of Excel allows you to read this threaded comment; however, any edits to it will get removed if the file is opened in a newer version of Excel. Learn more: https://go.microsoft.com/fwlink/?linkid=870924
Comment:
    Simplifying planning convention, not a calendar-month model.</x:t>
        </x:r>
      </x:text>
    </x:comment>
    <x:comment ref="B20" authorId="42">
      <x:text>
        <x:r>
          <x:t>[Threaded comment]
Your version of Excel allows you to read this threaded comment; however, any edits to it will get removed if the file is opened in a newer version of Excel. Learn more: https://go.microsoft.com/fwlink/?linkid=870924
Comment:
    Public-service budget allowance incl. database, worker, backups and email; not a provider quote. See Sources.</x:t>
        </x:r>
      </x:text>
    </x:comment>
    <x:comment ref="C20" authorId="43">
      <x:text>
        <x:r>
          <x:t>[Threaded comment]
Your version of Excel allows you to read this threaded comment; however, any edits to it will get removed if the file is opened in a newer version of Excel. Learn more: https://go.microsoft.com/fwlink/?linkid=870924
Comment:
    Public-service budget allowance incl. database, worker, backups and email; not a provider quote. See Sources.</x:t>
        </x:r>
      </x:text>
    </x:comment>
    <x:comment ref="D20" authorId="44">
      <x:text>
        <x:r>
          <x:t>[Threaded comment]
Your version of Excel allows you to read this threaded comment; however, any edits to it will get removed if the file is opened in a newer version of Excel. Learn more: https://go.microsoft.com/fwlink/?linkid=870924
Comment:
    Public-service budget allowance incl. database, worker, backups and email; not a provider quote. See Sources.</x:t>
        </x:r>
      </x:text>
    </x:comment>
    <x:comment ref="B21" authorId="45">
      <x:text>
        <x:r>
          <x:t>[Threaded comment]
Your version of Excel allows you to read this threaded comment; however, any edits to it will get removed if the file is opened in a newer version of Excel. Learn more: https://go.microsoft.com/fwlink/?linkid=870924
Comment:
    Capacity allowance; benchmark replay validation before committing. Includes storage/traffic/compute allowance.</x:t>
        </x:r>
      </x:text>
    </x:comment>
    <x:comment ref="C21" authorId="46">
      <x:text>
        <x:r>
          <x:t>[Threaded comment]
Your version of Excel allows you to read this threaded comment; however, any edits to it will get removed if the file is opened in a newer version of Excel. Learn more: https://go.microsoft.com/fwlink/?linkid=870924
Comment:
    Capacity allowance; benchmark replay validation before committing. Includes storage/traffic/compute allowance.</x:t>
        </x:r>
      </x:text>
    </x:comment>
    <x:comment ref="D21" authorId="47">
      <x:text>
        <x:r>
          <x:t>[Threaded comment]
Your version of Excel allows you to read this threaded comment; however, any edits to it will get removed if the file is opened in a newer version of Excel. Learn more: https://go.microsoft.com/fwlink/?linkid=870924
Comment:
    Capacity allowance; benchmark replay validation before committing. Includes storage/traffic/compute allowance.</x:t>
        </x:r>
      </x:text>
    </x:comment>
    <x:comment ref="B22" authorId="48">
      <x:text>
        <x:r>
          <x:t>[Threaded comment]
Your version of Excel allows you to read this threaded comment; however, any edits to it will get removed if the file is opened in a newer version of Excel. Learn more: https://go.microsoft.com/fwlink/?linkid=870924
Comment:
    External/support contingency, in addition to founder time.</x:t>
        </x:r>
      </x:text>
    </x:comment>
    <x:comment ref="C22" authorId="49">
      <x:text>
        <x:r>
          <x:t>[Threaded comment]
Your version of Excel allows you to read this threaded comment; however, any edits to it will get removed if the file is opened in a newer version of Excel. Learn more: https://go.microsoft.com/fwlink/?linkid=870924
Comment:
    External/support contingency, in addition to founder time.</x:t>
        </x:r>
      </x:text>
    </x:comment>
    <x:comment ref="D22" authorId="50">
      <x:text>
        <x:r>
          <x:t>[Threaded comment]
Your version of Excel allows you to read this threaded comment; however, any edits to it will get removed if the file is opened in a newer version of Excel. Learn more: https://go.microsoft.com/fwlink/?linkid=870924
Comment:
    External/support contingency, in addition to founder time.</x:t>
        </x:r>
      </x:text>
    </x:comment>
    <x:comment ref="B23" authorId="51">
      <x:text>
        <x:r>
          <x:t>[Threaded comment]
Your version of Excel allows you to read this threaded comment; however, any edits to it will get removed if the file is opened in a newer version of Excel. Learn more: https://go.microsoft.com/fwlink/?linkid=870924
Comment:
    No paid acquisition in baseline. Spend does not automatically create installs in this model.</x:t>
        </x:r>
      </x:text>
    </x:comment>
    <x:comment ref="C23" authorId="52">
      <x:text>
        <x:r>
          <x:t>[Threaded comment]
Your version of Excel allows you to read this threaded comment; however, any edits to it will get removed if the file is opened in a newer version of Excel. Learn more: https://go.microsoft.com/fwlink/?linkid=870924
Comment:
    No paid acquisition in baseline. Spend does not automatically create installs in this model.</x:t>
        </x:r>
      </x:text>
    </x:comment>
    <x:comment ref="D23" authorId="53">
      <x:text>
        <x:r>
          <x:t>[Threaded comment]
Your version of Excel allows you to read this threaded comment; however, any edits to it will get removed if the file is opened in a newer version of Excel. Learn more: https://go.microsoft.com/fwlink/?linkid=870924
Comment:
    No paid acquisition in baseline. Spend does not automatically create installs in this model.</x:t>
        </x:r>
      </x:text>
    </x:comment>
    <x:comment ref="B24" authorId="54">
      <x:text>
        <x:r>
          <x:t>[Threaded comment]
Your version of Excel allows you to read this threaded comment; however, any edits to it will get removed if the file is opened in a newer version of Excel. Learn more: https://go.microsoft.com/fwlink/?linkid=870924
Comment:
    Planning allowance for support, moderation, updates and releases; not billed as cash.</x:t>
        </x:r>
      </x:text>
    </x:comment>
    <x:comment ref="C24" authorId="55">
      <x:text>
        <x:r>
          <x:t>[Threaded comment]
Your version of Excel allows you to read this threaded comment; however, any edits to it will get removed if the file is opened in a newer version of Excel. Learn more: https://go.microsoft.com/fwlink/?linkid=870924
Comment:
    Planning allowance for support, moderation, updates and releases; not billed as cash.</x:t>
        </x:r>
      </x:text>
    </x:comment>
    <x:comment ref="D24" authorId="56">
      <x:text>
        <x:r>
          <x:t>[Threaded comment]
Your version of Excel allows you to read this threaded comment; however, any edits to it will get removed if the file is opened in a newer version of Excel. Learn more: https://go.microsoft.com/fwlink/?linkid=870924
Comment:
    Planning allowance for support, moderation, updates and releases; not billed as cash.</x:t>
        </x:r>
      </x:text>
    </x:comment>
    <x:comment ref="B25" authorId="57">
      <x:text>
        <x:r>
          <x:t>[Threaded comment]
Your version of Excel allows you to read this threaded comment; however, any edits to it will get removed if the file is opened in a newer version of Excel. Learn more: https://go.microsoft.com/fwlink/?linkid=870924
Comment:
    Opportunity-cost assumption; not salary, tax or an external quotation.</x:t>
        </x:r>
      </x:text>
    </x:comment>
    <x:comment ref="C25" authorId="58">
      <x:text>
        <x:r>
          <x:t>[Threaded comment]
Your version of Excel allows you to read this threaded comment; however, any edits to it will get removed if the file is opened in a newer version of Excel. Learn more: https://go.microsoft.com/fwlink/?linkid=870924
Comment:
    Opportunity-cost assumption; not salary, tax or an external quotation.</x:t>
        </x:r>
      </x:text>
    </x:comment>
    <x:comment ref="D25" authorId="59">
      <x:text>
        <x:r>
          <x:t>[Threaded comment]
Your version of Excel allows you to read this threaded comment; however, any edits to it will get removed if the file is opened in a newer version of Excel. Learn more: https://go.microsoft.com/fwlink/?linkid=870924
Comment:
    Opportunity-cost assumption; not salary, tax or an external quotation.</x:t>
        </x:r>
      </x:text>
    </x:comment>
    <x:comment ref="B26" authorId="60">
      <x:text>
        <x:r>
          <x:t>[Threaded comment]
Your version of Excel allows you to read this threaded comment; however, any edits to it will get removed if the file is opened in a newer version of Excel. Learn more: https://go.microsoft.com/fwlink/?linkid=870924
Comment:
    Planning anchor; roadmap range with buffer is 750–1275 hours at 30 productive hours/person-week.</x:t>
        </x:r>
      </x:text>
    </x:comment>
    <x:comment ref="C26" authorId="61">
      <x:text>
        <x:r>
          <x:t>[Threaded comment]
Your version of Excel allows you to read this threaded comment; however, any edits to it will get removed if the file is opened in a newer version of Excel. Learn more: https://go.microsoft.com/fwlink/?linkid=870924
Comment:
    Planning anchor; roadmap range with buffer is 750–1275 hours at 30 productive hours/person-week.</x:t>
        </x:r>
      </x:text>
    </x:comment>
    <x:comment ref="D26" authorId="62">
      <x:text>
        <x:r>
          <x:t>[Threaded comment]
Your version of Excel allows you to read this threaded comment; however, any edits to it will get removed if the file is opened in a newer version of Excel. Learn more: https://go.microsoft.com/fwlink/?linkid=870924
Comment:
    Planning anchor; roadmap range with buffer is 750–1275 hours at 30 productive hours/person-week.</x:t>
        </x:r>
      </x:text>
    </x:comment>
    <x:comment ref="B27" authorId="63">
      <x:text>
        <x:r>
          <x:t>[Threaded comment]
Your version of Excel allows you to read this threaded comment; however, any edits to it will get removed if the file is opened in a newer version of Excel. Learn more: https://go.microsoft.com/fwlink/?linkid=870924
Comment:
    Discretionary assets, devices, QA/legal/accounting; store registration budget is separate.</x:t>
        </x:r>
      </x:text>
    </x:comment>
    <x:comment ref="C27" authorId="64">
      <x:text>
        <x:r>
          <x:t>[Threaded comment]
Your version of Excel allows you to read this threaded comment; however, any edits to it will get removed if the file is opened in a newer version of Excel. Learn more: https://go.microsoft.com/fwlink/?linkid=870924
Comment:
    Discretionary assets, devices, QA/legal/accounting; store registration budget is separate.</x:t>
        </x:r>
      </x:text>
    </x:comment>
    <x:comment ref="D27" authorId="65">
      <x:text>
        <x:r>
          <x:t>[Threaded comment]
Your version of Excel allows you to read this threaded comment; however, any edits to it will get removed if the file is opened in a newer version of Excel. Learn more: https://go.microsoft.com/fwlink/?linkid=870924
Comment:
    Discretionary assets, devices, QA/legal/accounting; store registration budget is separate.</x:t>
        </x:r>
      </x:text>
    </x:comment>
    <x:comment ref="B28" authorId="66">
      <x:text>
        <x:r>
          <x:t>[Threaded comment]
Your version of Excel allows you to read this threaded comment; however, any edits to it will get removed if the file is opened in a newer version of Excel. Learn more: https://go.microsoft.com/fwlink/?linkid=870924
Comment:
    Budget allowance, NOT a converted quote. Official Play registration is USD 25 once: https://support.google.com/googleplay/android-developer/answer/6112435?hl=en</x:t>
        </x:r>
      </x:text>
    </x:comment>
    <x:comment ref="C28" authorId="67">
      <x:text>
        <x:r>
          <x:t>[Threaded comment]
Your version of Excel allows you to read this threaded comment; however, any edits to it will get removed if the file is opened in a newer version of Excel. Learn more: https://go.microsoft.com/fwlink/?linkid=870924
Comment:
    Budget allowance, NOT a converted quote. Official Play registration is USD 25 once: https://support.google.com/googleplay/android-developer/answer/6112435?hl=en</x:t>
        </x:r>
      </x:text>
    </x:comment>
    <x:comment ref="D28" authorId="68">
      <x:text>
        <x:r>
          <x:t>[Threaded comment]
Your version of Excel allows you to read this threaded comment; however, any edits to it will get removed if the file is opened in a newer version of Excel. Learn more: https://go.microsoft.com/fwlink/?linkid=870924
Comment:
    Budget allowance, NOT a converted quote. Official Play registration is USD 25 once: https://support.google.com/googleplay/android-developer/answer/6112435?hl=en</x:t>
        </x:r>
      </x:text>
    </x:comment>
    <x:comment ref="B29" authorId="69">
      <x:text>
        <x:r>
          <x:t>[Threaded comment]
Your version of Excel allows you to read this threaded comment; however, any edits to it will get removed if the file is opened in a newer version of Excel. Learn more: https://go.microsoft.com/fwlink/?linkid=870924
Comment:
    Zero deliberately exposes funding required. Negative cash means a funding gap, not financed operations.</x:t>
        </x:r>
      </x:text>
    </x:comment>
    <x:comment ref="C29" authorId="70">
      <x:text>
        <x:r>
          <x:t>[Threaded comment]
Your version of Excel allows you to read this threaded comment; however, any edits to it will get removed if the file is opened in a newer version of Excel. Learn more: https://go.microsoft.com/fwlink/?linkid=870924
Comment:
    Zero deliberately exposes funding required. Negative cash means a funding gap, not financed operations.</x:t>
        </x:r>
      </x:text>
    </x:comment>
    <x:comment ref="D29" authorId="71">
      <x:text>
        <x:r>
          <x:t>[Threaded comment]
Your version of Excel allows you to read this threaded comment; however, any edits to it will get removed if the file is opened in a newer version of Excel. Learn more: https://go.microsoft.com/fwlink/?linkid=870924
Comment:
    Zero deliberately exposes funding required. Negative cash means a funding gap, not financed operations.</x:t>
        </x:r>
      </x:text>
    </x:comment>
    <x:comment ref="B30" authorId="72">
      <x:text>
        <x:r>
          <x:t>[Threaded comment]
Your version of Excel allows you to read this threaded comment; however, any edits to it will get removed if the file is opened in a newer version of Excel. Learn more: https://go.microsoft.com/fwlink/?linkid=870924
Comment:
    One-month delay from acquisition to the initial purchase basket; fixed for these worksheets.</x:t>
        </x:r>
      </x:text>
    </x:comment>
    <x:comment ref="C30" authorId="73">
      <x:text>
        <x:r>
          <x:t>[Threaded comment]
Your version of Excel allows you to read this threaded comment; however, any edits to it will get removed if the file is opened in a newer version of Excel. Learn more: https://go.microsoft.com/fwlink/?linkid=870924
Comment:
    One-month delay from acquisition to the initial purchase basket; fixed for these worksheets.</x:t>
        </x:r>
      </x:text>
    </x:comment>
    <x:comment ref="D30" authorId="74">
      <x:text>
        <x:r>
          <x:t>[Threaded comment]
Your version of Excel allows you to read this threaded comment; however, any edits to it will get removed if the file is opened in a newer version of Excel. Learn more: https://go.microsoft.com/fwlink/?linkid=870924
Comment:
    One-month delay from acquisition to the initial purchase basket; fixed for these worksheets.</x:t>
        </x:r>
      </x:text>
    </x:comment>
    <x:comment ref="B31" authorId="75">
      <x:text>
        <x:r>
          <x:t>[Threaded comment]
Your version of Excel allows you to read this threaded comment; however, any edits to it will get removed if the file is opened in a newer version of Excel. Learn more: https://go.microsoft.com/fwlink/?linkid=870924
Comment:
    Simplifying one-month collection delay; actual settlements vary.</x:t>
        </x:r>
      </x:text>
    </x:comment>
    <x:comment ref="C31" authorId="76">
      <x:text>
        <x:r>
          <x:t>[Threaded comment]
Your version of Excel allows you to read this threaded comment; however, any edits to it will get removed if the file is opened in a newer version of Excel. Learn more: https://go.microsoft.com/fwlink/?linkid=870924
Comment:
    Simplifying one-month collection delay; actual settlements vary.</x:t>
        </x:r>
      </x:text>
    </x:comment>
    <x:comment ref="D31" authorId="77">
      <x:text>
        <x:r>
          <x:t>[Threaded comment]
Your version of Excel allows you to read this threaded comment; however, any edits to it will get removed if the file is opened in a newer version of Excel. Learn more: https://go.microsoft.com/fwlink/?linkid=870924
Comment:
    Simplifying one-month collection delay; actual settlements vary.</x:t>
        </x:r>
      </x:text>
    </x:comment>
    <x:comment ref="B32" authorId="78">
      <x:text>
        <x:r>
          <x:t>[Threaded comment]
Your version of Excel allows you to read this threaded comment; however, any edits to it will get removed if the file is opened in a newer version of Excel. Learn more: https://go.microsoft.com/fwlink/?linkid=870924
Comment:
    Fraction of acquisition cohort active at least once in month 0; planning input.</x:t>
        </x:r>
      </x:text>
    </x:comment>
    <x:comment ref="C32" authorId="79">
      <x:text>
        <x:r>
          <x:t>[Threaded comment]
Your version of Excel allows you to read this threaded comment; however, any edits to it will get removed if the file is opened in a newer version of Excel. Learn more: https://go.microsoft.com/fwlink/?linkid=870924
Comment:
    Fraction of acquisition cohort active at least once in month 0; planning input.</x:t>
        </x:r>
      </x:text>
    </x:comment>
    <x:comment ref="D32" authorId="80">
      <x:text>
        <x:r>
          <x:t>[Threaded comment]
Your version of Excel allows you to read this threaded comment; however, any edits to it will get removed if the file is opened in a newer version of Excel. Learn more: https://go.microsoft.com/fwlink/?linkid=870924
Comment:
    Fraction of acquisition cohort active at least once in month 0; planning input.</x:t>
        </x:r>
      </x:text>
    </x:comment>
    <x:comment ref="B33" authorId="81">
      <x:text>
        <x:r>
          <x:t>[Threaded comment]
Your version of Excel allows you to read this threaded comment; however, any edits to it will get removed if the file is opened in a newer version of Excel. Learn more: https://go.microsoft.com/fwlink/?linkid=870924
Comment:
    Fraction of original install cohort active in month 1; NOT D30 retention.</x:t>
        </x:r>
      </x:text>
    </x:comment>
    <x:comment ref="C33" authorId="82">
      <x:text>
        <x:r>
          <x:t>[Threaded comment]
Your version of Excel allows you to read this threaded comment; however, any edits to it will get removed if the file is opened in a newer version of Excel. Learn more: https://go.microsoft.com/fwlink/?linkid=870924
Comment:
    Fraction of original install cohort active in month 1; NOT D30 retention.</x:t>
        </x:r>
      </x:text>
    </x:comment>
    <x:comment ref="D33" authorId="83">
      <x:text>
        <x:r>
          <x:t>[Threaded comment]
Your version of Excel allows you to read this threaded comment; however, any edits to it will get removed if the file is opened in a newer version of Excel. Learn more: https://go.microsoft.com/fwlink/?linkid=870924
Comment:
    Fraction of original install cohort active in month 1; NOT D30 retention.</x:t>
        </x:r>
      </x:text>
    </x:comment>
    <x:comment ref="B34" authorId="84">
      <x:text>
        <x:r>
          <x:t>[Threaded comment]
Your version of Excel allows you to read this threaded comment; however, any edits to it will get removed if the file is opened in a newer version of Excel. Learn more: https://go.microsoft.com/fwlink/?linkid=870924
Comment:
    Fraction of original install cohort active in month 2.</x:t>
        </x:r>
      </x:text>
    </x:comment>
    <x:comment ref="C34" authorId="85">
      <x:text>
        <x:r>
          <x:t>[Threaded comment]
Your version of Excel allows you to read this threaded comment; however, any edits to it will get removed if the file is opened in a newer version of Excel. Learn more: https://go.microsoft.com/fwlink/?linkid=870924
Comment:
    Fraction of original install cohort active in month 2.</x:t>
        </x:r>
      </x:text>
    </x:comment>
    <x:comment ref="D34" authorId="86">
      <x:text>
        <x:r>
          <x:t>[Threaded comment]
Your version of Excel allows you to read this threaded comment; however, any edits to it will get removed if the file is opened in a newer version of Excel. Learn more: https://go.microsoft.com/fwlink/?linkid=870924
Comment:
    Fraction of original install cohort active in month 2.</x:t>
        </x:r>
      </x:text>
    </x:comment>
    <x:comment ref="B35" authorId="87">
      <x:text>
        <x:r>
          <x:t>[Threaded comment]
Your version of Excel allows you to read this threaded comment; however, any edits to it will get removed if the file is opened in a newer version of Excel. Learn more: https://go.microsoft.com/fwlink/?linkid=870924
Comment:
    Fraction of original install cohort active in month 3.</x:t>
        </x:r>
      </x:text>
    </x:comment>
    <x:comment ref="C35" authorId="88">
      <x:text>
        <x:r>
          <x:t>[Threaded comment]
Your version of Excel allows you to read this threaded comment; however, any edits to it will get removed if the file is opened in a newer version of Excel. Learn more: https://go.microsoft.com/fwlink/?linkid=870924
Comment:
    Fraction of original install cohort active in month 3.</x:t>
        </x:r>
      </x:text>
    </x:comment>
    <x:comment ref="D35" authorId="89">
      <x:text>
        <x:r>
          <x:t>[Threaded comment]
Your version of Excel allows you to read this threaded comment; however, any edits to it will get removed if the file is opened in a newer version of Excel. Learn more: https://go.microsoft.com/fwlink/?linkid=870924
Comment:
    Fraction of original install cohort active in month 3.</x:t>
        </x:r>
      </x:text>
    </x:comment>
    <x:comment ref="B36" authorId="90">
      <x:text>
        <x:r>
          <x:t>[Threaded comment]
Your version of Excel allows you to read this threaded comment; however, any edits to it will get removed if the file is opened in a newer version of Excel. Learn more: https://go.microsoft.com/fwlink/?linkid=870924
Comment:
    Each subsequent monthly activity fraction = prior fraction times this value.</x:t>
        </x:r>
      </x:text>
    </x:comment>
    <x:comment ref="C36" authorId="91">
      <x:text>
        <x:r>
          <x:t>[Threaded comment]
Your version of Excel allows you to read this threaded comment; however, any edits to it will get removed if the file is opened in a newer version of Excel. Learn more: https://go.microsoft.com/fwlink/?linkid=870924
Comment:
    Each subsequent monthly activity fraction = prior fraction times this value.</x:t>
        </x:r>
      </x:text>
    </x:comment>
    <x:comment ref="D36" authorId="92">
      <x:text>
        <x:r>
          <x:t>[Threaded comment]
Your version of Excel allows you to read this threaded comment; however, any edits to it will get removed if the file is opened in a newer version of Excel. Learn more: https://go.microsoft.com/fwlink/?linkid=870924
Comment:
    Each subsequent monthly activity fraction = prior fraction times this value.</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Red](#,##0);&quot;-&quot;"/>
    <x:numFmt numFmtId="201" formatCode="0.0%;[Red](0.0%);&quot;-&quot;"/>
    <x:numFmt numFmtId="202" formatCode="€#,##0.00;[Red](€#,##0.00);&quot;-&quot;"/>
    <x:numFmt numFmtId="203" formatCode="0.00&quot;x&quot;"/>
  </x:numFmts>
  <x:fonts count="12">
    <x:font>
      <x:sz val="11"/>
      <x:name val="Carlito"/>
    </x:font>
    <x:font>
      <x:sz val="11"/>
      <x:name val="Aptos"/>
    </x:font>
    <x:font>
      <x:sz val="11"/>
      <x:color rgb="FF000000"/>
      <x:name val="Aptos"/>
    </x:font>
    <x:font>
      <x:sz val="20"/>
      <x:color rgb="FF000000"/>
      <x:name val="Aptos"/>
    </x:font>
    <x:font>
      <x:b/>
      <x:sz val="20"/>
      <x:color rgb="FF000000"/>
      <x:name val="Aptos"/>
    </x:font>
    <x:font>
      <x:b/>
      <x:sz val="20"/>
      <x:color rgb="FF173238"/>
      <x:name val="Aptos"/>
    </x:font>
    <x:font>
      <x:b/>
      <x:sz val="10"/>
      <x:color rgb="FFFFFFFF"/>
      <x:name val="Aptos"/>
    </x:font>
    <x:font>
      <x:b/>
      <x:sz val="11"/>
      <x:color rgb="FF000000"/>
      <x:name val="Aptos"/>
    </x:font>
    <x:font>
      <x:sz val="11"/>
      <x:color rgb="FF0000FF"/>
      <x:name val="Aptos"/>
    </x:font>
    <x:font>
      <x:sz val="11"/>
      <x:color rgb="FF008000"/>
      <x:name val="Aptos"/>
    </x:font>
    <x:font>
      <x:b/>
      <x:sz val="11"/>
      <x:color rgb="FFFFFFFF"/>
      <x:name val="Aptos"/>
    </x:font>
    <x:font>
      <x:b/>
      <x:sz val="11"/>
      <x:color rgb="FF008000"/>
      <x:name val="Aptos"/>
    </x:font>
  </x:fonts>
  <x:fills count="5">
    <x:fill>
      <x:patternFill patternType="none"/>
    </x:fill>
    <x:fill>
      <x:patternFill patternType="gray125"/>
    </x:fill>
    <x:fill>
      <x:patternFill patternType="solid">
        <x:fgColor rgb="FF173238"/>
      </x:patternFill>
    </x:fill>
    <x:fill>
      <x:patternFill patternType="solid">
        <x:fgColor rgb="FFE8F2F0"/>
      </x:patternFill>
    </x:fill>
    <x:fill>
      <x:patternFill patternType="solid">
        <x:fgColor rgb="FFFFF3CD"/>
      </x:patternFill>
    </x:fill>
  </x:fills>
  <x:borders count="2">
    <x:border/>
    <x:border/>
  </x:borders>
  <x:cellStyleXfs count="1">
    <x:xf numFmtId="0" fontId="0" fillId="0" borderId="0"/>
  </x:cellStyleXfs>
  <x:cellXfs count="64">
    <x:xf numFmtId="0" fontId="0" fillId="0" borderId="0" xfId="0"/>
    <x:xf numFmtId="0" fontId="0" fillId="0" borderId="1" xfId="0" applyNumberFormat="1" applyFont="1" applyFill="1" applyBorder="1"/>
    <x:xf numFmtId="0" fontId="1" fillId="0" borderId="0" xfId="0" applyNumberFormat="1" applyFont="1" applyFill="1" applyBorder="1"/>
    <x:xf numFmtId="0" fontId="1" fillId="0" borderId="1" xfId="0" applyNumberFormat="1" applyFont="1" applyFill="1" applyBorder="1"/>
    <x:xf numFmtId="0" fontId="2" fillId="0" borderId="0" xfId="0" applyNumberFormat="1" applyFont="1" applyFill="1" applyBorder="1"/>
    <x:xf numFmtId="0" fontId="2" fillId="0" borderId="1" xfId="0" applyNumberFormat="1" applyFont="1" applyFill="1" applyBorder="1"/>
    <x:xf numFmtId="200" fontId="2" fillId="0" borderId="0" xfId="0" applyNumberFormat="1" applyFont="1" applyFill="1" applyBorder="1"/>
    <x:xf numFmtId="200" fontId="2" fillId="0" borderId="1" xfId="0" applyNumberFormat="1" applyFont="1" applyFill="1" applyBorder="1"/>
    <x:xf numFmtId="200" fontId="3" fillId="0" borderId="0" xfId="0" applyNumberFormat="1" applyFont="1" applyFill="1" applyBorder="1"/>
    <x:xf numFmtId="200" fontId="3" fillId="0" borderId="1" xfId="0" applyNumberFormat="1" applyFont="1" applyFill="1" applyBorder="1"/>
    <x:xf numFmtId="200" fontId="4" fillId="0" borderId="0" xfId="0" applyNumberFormat="1" applyFont="1" applyFill="1" applyBorder="1"/>
    <x:xf numFmtId="200" fontId="4" fillId="0" borderId="1" xfId="0" applyNumberFormat="1" applyFont="1" applyFill="1" applyBorder="1"/>
    <x:xf numFmtId="200" fontId="5" fillId="0" borderId="0" xfId="0" applyNumberFormat="1" applyFont="1" applyFill="1" applyBorder="1"/>
    <x:xf numFmtId="200" fontId="5" fillId="0" borderId="1" xfId="0" applyNumberFormat="1" applyFont="1" applyFill="1" applyBorder="1"/>
    <x:xf numFmtId="200" fontId="5" fillId="0" borderId="0" xfId="0" applyNumberFormat="1" applyFont="1" applyFill="1" applyBorder="1" applyAlignment="1">
      <x:alignment wrapText="1"/>
    </x:xf>
    <x:xf numFmtId="200" fontId="2" fillId="0" borderId="0" xfId="0" applyNumberFormat="1" applyFont="1" applyFill="1" applyBorder="1" applyAlignment="1">
      <x:alignment wrapText="1"/>
    </x:xf>
    <x:xf numFmtId="200" fontId="5" fillId="0" borderId="1" xfId="0" applyNumberFormat="1" applyFont="1" applyFill="1" applyBorder="1" applyAlignment="1">
      <x:alignment wrapText="1"/>
    </x:xf>
    <x:xf numFmtId="200" fontId="2" fillId="0" borderId="1" xfId="0" applyNumberFormat="1" applyFont="1" applyFill="1" applyBorder="1" applyAlignment="1">
      <x:alignment wrapText="1"/>
    </x:xf>
    <x:xf numFmtId="200" fontId="2" fillId="2" borderId="0" xfId="0" applyNumberFormat="1" applyFont="1" applyFill="1" applyBorder="1"/>
    <x:xf numFmtId="200" fontId="6" fillId="2" borderId="0" xfId="0" applyNumberFormat="1" applyFont="1" applyFill="1" applyBorder="1"/>
    <x:xf numFmtId="200" fontId="6" fillId="2" borderId="0" xfId="0" applyNumberFormat="1" applyFont="1" applyFill="1" applyBorder="1" applyAlignment="1">
      <x:alignment wrapText="1"/>
    </x:xf>
    <x:xf numFmtId="200" fontId="2" fillId="2" borderId="1" xfId="0" applyNumberFormat="1" applyFont="1" applyFill="1" applyBorder="1"/>
    <x:xf numFmtId="200" fontId="6" fillId="2" borderId="1" xfId="0" applyNumberFormat="1" applyFont="1" applyFill="1" applyBorder="1"/>
    <x:xf numFmtId="200" fontId="6" fillId="2" borderId="1" xfId="0" applyNumberFormat="1" applyFont="1" applyFill="1" applyBorder="1" applyAlignment="1">
      <x:alignment wrapText="1"/>
    </x:xf>
    <x:xf numFmtId="200" fontId="7" fillId="0" borderId="0" xfId="0" applyNumberFormat="1" applyFont="1" applyFill="1" applyBorder="1" applyAlignment="1">
      <x:alignment wrapText="1"/>
    </x:xf>
    <x:xf numFmtId="200" fontId="7" fillId="0" borderId="1" xfId="0" applyNumberFormat="1" applyFont="1" applyFill="1" applyBorder="1" applyAlignment="1">
      <x:alignment wrapText="1"/>
    </x:xf>
    <x:xf numFmtId="200" fontId="2" fillId="3" borderId="0" xfId="0" applyNumberFormat="1" applyFont="1" applyFill="1" applyBorder="1"/>
    <x:xf numFmtId="200" fontId="2" fillId="3" borderId="0" xfId="0" applyNumberFormat="1" applyFont="1" applyFill="1" applyBorder="1" applyAlignment="1">
      <x:alignment wrapText="1"/>
    </x:xf>
    <x:xf numFmtId="200" fontId="2" fillId="3" borderId="1" xfId="0" applyNumberFormat="1" applyFont="1" applyFill="1" applyBorder="1"/>
    <x:xf numFmtId="200" fontId="2" fillId="3" borderId="1" xfId="0" applyNumberFormat="1" applyFont="1" applyFill="1" applyBorder="1" applyAlignment="1">
      <x:alignment wrapText="1"/>
    </x:xf>
    <x:xf numFmtId="200" fontId="8" fillId="0" borderId="0" xfId="0" applyNumberFormat="1" applyFont="1" applyFill="1" applyBorder="1"/>
    <x:xf numFmtId="200" fontId="8" fillId="0" borderId="1" xfId="0" applyNumberFormat="1" applyFont="1" applyFill="1" applyBorder="1"/>
    <x:xf numFmtId="201" fontId="8" fillId="0" borderId="0" xfId="0" applyNumberFormat="1" applyFont="1" applyFill="1" applyBorder="1"/>
    <x:xf numFmtId="201" fontId="8" fillId="0" borderId="1" xfId="0" applyNumberFormat="1" applyFont="1" applyFill="1" applyBorder="1"/>
    <x:xf numFmtId="202" fontId="8" fillId="0" borderId="0" xfId="0" applyNumberFormat="1" applyFont="1" applyFill="1" applyBorder="1"/>
    <x:xf numFmtId="202" fontId="8" fillId="0" borderId="1" xfId="0" applyNumberFormat="1" applyFont="1" applyFill="1" applyBorder="1"/>
    <x:xf numFmtId="203" fontId="8" fillId="0" borderId="0" xfId="0" applyNumberFormat="1" applyFont="1" applyFill="1" applyBorder="1"/>
    <x:xf numFmtId="203" fontId="8" fillId="0" borderId="1" xfId="0" applyNumberFormat="1" applyFont="1" applyFill="1" applyBorder="1"/>
    <x:xf numFmtId="201" fontId="8" fillId="4" borderId="0" xfId="0" applyNumberFormat="1" applyFont="1" applyFill="1" applyBorder="1"/>
    <x:xf numFmtId="201" fontId="8" fillId="4" borderId="1" xfId="0" applyNumberFormat="1" applyFont="1" applyFill="1" applyBorder="1"/>
    <x:xf numFmtId="201" fontId="2" fillId="0" borderId="0" xfId="0" applyNumberFormat="1" applyFont="1" applyFill="1" applyBorder="1"/>
    <x:xf numFmtId="201" fontId="2" fillId="0" borderId="1" xfId="0" applyNumberFormat="1" applyFont="1" applyFill="1" applyBorder="1"/>
    <x:xf numFmtId="201" fontId="9" fillId="0" borderId="0" xfId="0" applyNumberFormat="1" applyFont="1" applyFill="1" applyBorder="1"/>
    <x:xf numFmtId="201" fontId="9" fillId="0" borderId="1" xfId="0" applyNumberFormat="1" applyFont="1" applyFill="1" applyBorder="1"/>
    <x:xf numFmtId="200" fontId="10" fillId="2" borderId="0" xfId="0" applyNumberFormat="1" applyFont="1" applyFill="1" applyBorder="1"/>
    <x:xf numFmtId="200" fontId="10" fillId="2" borderId="1" xfId="0" applyNumberFormat="1" applyFont="1" applyFill="1" applyBorder="1"/>
    <x:xf numFmtId="200" fontId="2" fillId="0" borderId="0" xfId="0" applyNumberFormat="1" applyFont="1" applyFill="1" applyBorder="1" applyAlignment="1">
      <x:alignment horizontal="center"/>
    </x:xf>
    <x:xf numFmtId="200" fontId="2" fillId="0" borderId="1" xfId="0" applyNumberFormat="1" applyFont="1" applyFill="1" applyBorder="1" applyAlignment="1">
      <x:alignment horizontal="center"/>
    </x:xf>
    <x:xf numFmtId="202" fontId="2" fillId="0" borderId="0" xfId="0" applyNumberFormat="1" applyFont="1" applyFill="1" applyBorder="1"/>
    <x:xf numFmtId="202" fontId="2" fillId="0" borderId="1" xfId="0" applyNumberFormat="1" applyFont="1" applyFill="1" applyBorder="1"/>
    <x:xf numFmtId="200" fontId="7" fillId="0" borderId="0" xfId="0" applyNumberFormat="1" applyFont="1" applyFill="1" applyBorder="1"/>
    <x:xf numFmtId="200" fontId="7" fillId="0" borderId="1" xfId="0" applyNumberFormat="1" applyFont="1" applyFill="1" applyBorder="1"/>
    <x:xf numFmtId="200" fontId="9" fillId="0" borderId="0" xfId="0" applyNumberFormat="1" applyFont="1" applyFill="1" applyBorder="1"/>
    <x:xf numFmtId="200" fontId="9" fillId="0" borderId="1" xfId="0" applyNumberFormat="1" applyFont="1" applyFill="1" applyBorder="1"/>
    <x:xf numFmtId="200" fontId="2" fillId="4" borderId="0" xfId="0" applyNumberFormat="1" applyFont="1" applyFill="1" applyBorder="1" applyAlignment="1">
      <x:alignment wrapText="1"/>
    </x:xf>
    <x:xf numFmtId="200" fontId="2" fillId="4" borderId="0" xfId="0" applyNumberFormat="1" applyFont="1" applyFill="1" applyBorder="1"/>
    <x:xf numFmtId="200" fontId="2" fillId="4" borderId="1" xfId="0" applyNumberFormat="1" applyFont="1" applyFill="1" applyBorder="1" applyAlignment="1">
      <x:alignment wrapText="1"/>
    </x:xf>
    <x:xf numFmtId="200" fontId="2" fillId="4" borderId="1" xfId="0" applyNumberFormat="1" applyFont="1" applyFill="1" applyBorder="1"/>
    <x:xf numFmtId="200" fontId="11" fillId="0" borderId="0" xfId="0" applyNumberFormat="1" applyFont="1" applyFill="1" applyBorder="1"/>
    <x:xf numFmtId="200" fontId="11" fillId="0" borderId="1" xfId="0" applyNumberFormat="1" applyFont="1" applyFill="1" applyBorder="1"/>
    <x:xf numFmtId="202" fontId="9" fillId="0" borderId="0" xfId="0" applyNumberFormat="1" applyFont="1" applyFill="1" applyBorder="1"/>
    <x:xf numFmtId="202" fontId="9" fillId="0" borderId="1" xfId="0" applyNumberFormat="1" applyFont="1" applyFill="1" applyBorder="1"/>
    <x:xf numFmtId="202" fontId="11" fillId="0" borderId="0" xfId="0" applyNumberFormat="1" applyFont="1" applyFill="1" applyBorder="1"/>
    <x:xf numFmtId="202" fontId="11" fillId="0" borderId="1" xfId="0" applyNumberFormat="1" applyFont="1" applyFill="1" applyBorder="1"/>
  </x:cellXfs>
  <x:cellStyles count="1">
    <x:cellStyle name="Normal" xfId="0"/>
  </x:cellStyles>
  <x:dxfs count="3">
    <x:dxf>
      <x:fill>
        <x:patternFill patternType="solid">
          <x:bgColor rgb="FFFCE7E4"/>
        </x:patternFill>
      </x:fill>
    </x:dxf>
    <x:dxf>
      <x:fill>
        <x:patternFill patternType="solid">
          <x:bgColor rgb="FFFCE7E4"/>
        </x:patternFill>
      </x:fill>
    </x:dxf>
    <x:dxf>
      <x:fill>
        <x:patternFill patternType="solid">
          <x:bgColor rgb="FFFCE7E4"/>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759b14bd46b41ba" /><Relationship Type="http://schemas.openxmlformats.org/officeDocument/2006/relationships/theme" Target="/xl/theme/theme1.xml" Id="Ra6ef4179ac58486c" /><Relationship Type="http://schemas.openxmlformats.org/officeDocument/2006/relationships/sharedStrings" Target="/xl/sharedStrings.xml" Id="R12e42ee0dd9a4c24" /><Relationship Type="http://schemas.openxmlformats.org/officeDocument/2006/relationships/worksheet" Target="/xl/worksheets/sheet1.xml" Id="Rb9766f3d38bf430f" /><Relationship Type="http://schemas.openxmlformats.org/officeDocument/2006/relationships/worksheet" Target="/xl/worksheets/sheet2.xml" Id="R29dba54435034150" /><Relationship Type="http://schemas.openxmlformats.org/officeDocument/2006/relationships/worksheet" Target="/xl/worksheets/sheet3.xml" Id="R912a7651fd614190" /><Relationship Type="http://schemas.openxmlformats.org/officeDocument/2006/relationships/worksheet" Target="/xl/worksheets/sheet4.xml" Id="R356e785d68734959" /><Relationship Type="http://schemas.openxmlformats.org/officeDocument/2006/relationships/worksheet" Target="/xl/worksheets/sheet5.xml" Id="R50539542168e480d" /><Relationship Type="http://schemas.openxmlformats.org/officeDocument/2006/relationships/worksheet" Target="/xl/worksheets/sheet6.xml" Id="Rfbbf9288a8104fad" /><Relationship Type="http://schemas.openxmlformats.org/officeDocument/2006/relationships/worksheet" Target="/xl/worksheets/sheet7.xml" Id="R33fbf40a14304fb3" /><Relationship Type="http://schemas.openxmlformats.org/officeDocument/2006/relationships/worksheet" Target="/xl/worksheets/sheet8.xml" Id="R1f0aa27c2b1b46e5" /><Relationship Type="http://schemas.openxmlformats.org/officeDocument/2006/relationships/worksheet" Target="/xl/worksheets/sheet9.xml" Id="R3252fdf68c0a4107" /><Relationship Type="http://schemas.microsoft.com/office/2017/10/relationships/person" Target="/xl/persons/person.xml" Id="R32ffeabc70ae4ed5" /></Relationships>
</file>

<file path=xl/drawings/_rels/drawing1.xml.rels>&#65279;<?xml version="1.0" encoding="utf-8"?><Relationships xmlns="http://schemas.openxmlformats.org/package/2006/relationships"><Relationship Type="http://schemas.openxmlformats.org/officeDocument/2006/relationships/chart" Target="/xl/drawings/charts/chart1.xml" Id="Rd4f2f3908e5b4d27"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Base case — monthly revenue and cash costs</a:t>
            </a:r>
          </a:p>
        </c:rich>
      </c:tx>
    </c:title>
    <c:plotArea>
      <c:lineChart>
        <c:grouping val="standard"/>
        <c:ser>
          <c:idx val="0"/>
          <c:order val="0"/>
          <c:tx>
            <c:v>BASE NET REVENUE</c:v>
          </c:tx>
          <c:marker>
            <c:symbol val="none"/>
          </c:marker>
          <c:cat>
            <c:strRef>
              <c:f>'Dashboard'!$F$6:$F$29</c:f>
              <c:strCache>
                <c:ptCount val="0"/>
              </c:strCache>
            </c:strRef>
          </c:cat>
          <c:val>
            <c:numRef>
              <c:f>'Dashboard'!$G$6:$G$29</c:f>
              <c:numCache>
                <c:formatCode>General</c:formatCode>
                <c:ptCount val="0"/>
              </c:numCache>
            </c:numRef>
          </c:val>
        </c:ser>
        <c:ser>
          <c:idx val="1"/>
          <c:order val="1"/>
          <c:tx>
            <c:v>BASE CASH OPEX</c:v>
          </c:tx>
          <c:marker>
            <c:symbol val="none"/>
          </c:marker>
          <c:cat>
            <c:strRef>
              <c:f>'Dashboard'!$F$6:$F$29</c:f>
              <c:strCache>
                <c:ptCount val="0"/>
              </c:strCache>
            </c:strRef>
          </c:cat>
          <c:val>
            <c:numRef>
              <c:f>'Dashboard'!$H$6:$H$29</c:f>
              <c:numCache>
                <c:formatCode>General</c:formatCode>
                <c:ptCount val="0"/>
              </c:numCache>
            </c:numRef>
          </c:val>
        </c:ser>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0</xdr:col>
      <xdr:colOff>0</xdr:colOff>
      <xdr:row>24</xdr:row>
      <xdr:rowOff>0</xdr:rowOff>
    </xdr:from>
    <xdr:to>
      <xdr:col>8</xdr:col>
      <xdr:colOff>0</xdr:colOff>
      <xdr:row>42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4f2f3908e5b4d27"/>
        </a:graphicData>
      </a:graphic>
    </xdr:graphicFrame>
    <xdr:clientData/>
  </xdr:twoCellAnchor>
</xdr:wsDr>
</file>

<file path=xl/persons/person.xml><?xml version="1.0" encoding="utf-8"?>
<xltc:personList xmlns:xltc="http://schemas.microsoft.com/office/spreadsheetml/2018/threadedcomments">
  <xltc:person displayName="Planning model" id="{61DE74F1-10D4-4075-815A-B4482A539EB6}"/>
  <xltc:person displayName="Planning model" id="{356C3DE4-79E8-44FF-AA90-7FE49D588CF1}"/>
</xltc:personList>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threadedcomments/threadedcomment.xml><?xml version="1.0" encoding="utf-8"?>
<xltc:ThreadedComments xmlns:xltc="http://schemas.microsoft.com/office/spreadsheetml/2018/threadedcomments">
  <xltc:threadedComment ref="B6" dT="2026-09-11T10:10:00.454" personId="{61DE74F1-10D4-4075-815A-B4482A539EB6}" id="{2DA82188-8A74-2BF7-8C09-FCB1BE1CE208}">
    <xltc:text>Planning scenario; not a forecast.</xltc:text>
  </xltc:threadedComment>
  <xltc:threadedComment ref="C6" dT="2026-09-11T10:10:37.846" personId="{61DE74F1-10D4-4075-815A-B4482A539EB6}" id="{0E74114F-3E2F-7AB2-AB1D-8779CAC82517}">
    <xltc:text>Planning scenario; not a forecast or market benchmark.</xltc:text>
  </xltc:threadedComment>
  <xltc:threadedComment ref="D6" dT="2026-09-11T10:10:37.846" personId="{61DE74F1-10D4-4075-815A-B4482A539EB6}" id="{4DAA6EE4-CCD3-3C0C-3A3B-B71F102771A2}">
    <xltc:text>Planning scenario; not a forecast or market benchmark.</xltc:text>
  </xltc:threadedComment>
  <xltc:threadedComment ref="B7" dT="2026-09-11T10:10:37.847" personId="{61DE74F1-10D4-4075-815A-B4482A539EB6}" id="{D2893424-2708-9566-39DA-6B0EFEDC6109}">
    <xltc:text>Planning assumption; no paid-acquisition lift is assumed.</xltc:text>
  </xltc:threadedComment>
  <xltc:threadedComment ref="C7" dT="2026-09-11T10:10:37.847" personId="{61DE74F1-10D4-4075-815A-B4482A539EB6}" id="{2FE36E59-021E-90BA-BC05-40CC5304BE12}">
    <xltc:text>Planning assumption; no paid-acquisition lift is assumed.</xltc:text>
  </xltc:threadedComment>
  <xltc:threadedComment ref="D7" dT="2026-09-11T10:10:37.847" personId="{61DE74F1-10D4-4075-815A-B4482A539EB6}" id="{F9D35551-1A52-44C2-3C91-E40B0506EF8D}">
    <xltc:text>Planning assumption; no paid-acquisition lift is assumed.</xltc:text>
  </xltc:threadedComment>
  <xltc:threadedComment ref="B8" dT="2026-09-11T10:10:37.847" personId="{61DE74F1-10D4-4075-815A-B4482A539EB6}" id="{280C6908-C1D8-C386-E3C5-ADA385546BB3}">
    <xltc:text>First-30-day, one-time conversion of ALL installs; hypothesis, not measured.</xltc:text>
  </xltc:threadedComment>
  <xltc:threadedComment ref="C8" dT="2026-09-11T10:10:37.847" personId="{61DE74F1-10D4-4075-815A-B4482A539EB6}" id="{38CC5CE7-85CE-CCA9-4A93-DA8CAB8A5B40}">
    <xltc:text>First-30-day, one-time conversion of ALL installs; hypothesis, not measured.</xltc:text>
  </xltc:threadedComment>
  <xltc:threadedComment ref="D8" dT="2026-09-11T10:10:37.847" personId="{61DE74F1-10D4-4075-815A-B4482A539EB6}" id="{6967FD4B-18FD-1AC6-6A83-CEDD92935A7B}">
    <xltc:text>First-30-day, one-time conversion of ALL installs; hypothesis, not measured.</xltc:text>
  </xltc:threadedComment>
  <xltc:threadedComment ref="B9" dT="2026-09-11T10:10:37.847" personId="{61DE74F1-10D4-4075-815A-B4482A539EB6}" id="{86CB8F21-0BA2-743B-3103-E1E876BC4B88}">
    <xltc:text>Proposed price; local store prices may differ.</xltc:text>
  </xltc:threadedComment>
  <xltc:threadedComment ref="C9" dT="2026-09-11T10:10:37.847" personId="{61DE74F1-10D4-4075-815A-B4482A539EB6}" id="{4B8B5745-8CAD-8D0F-BCDC-076FD06A1E79}">
    <xltc:text>Proposed price; local store prices may differ.</xltc:text>
  </xltc:threadedComment>
  <xltc:threadedComment ref="D9" dT="2026-09-11T10:10:37.847" personId="{61DE74F1-10D4-4075-815A-B4482A539EB6}" id="{D1CDF3B5-7966-45F4-A370-6484751AC2C6}">
    <xltc:text>Proposed price; local store prices may differ.</xltc:text>
  </xltc:threadedComment>
  <xltc:threadedComment ref="B10" dT="2026-09-11T10:10:37.848" personId="{61DE74F1-10D4-4075-815A-B4482A539EB6}" id="{324049F0-22C6-93ED-57DD-27986847E8AF}">
    <xltc:text>First-30-day cosmetic buyer conversion of ALL installs; may overlap Creator buyers.</xltc:text>
  </xltc:threadedComment>
  <xltc:threadedComment ref="C10" dT="2026-09-11T10:10:37.848" personId="{61DE74F1-10D4-4075-815A-B4482A539EB6}" id="{E547D67C-D3D7-17D5-4C6F-E228B0ADC2CB}">
    <xltc:text>First-30-day cosmetic buyer conversion of ALL installs; may overlap Creator buyers.</xltc:text>
  </xltc:threadedComment>
  <xltc:threadedComment ref="D10" dT="2026-09-11T10:10:37.848" personId="{61DE74F1-10D4-4075-815A-B4482A539EB6}" id="{9D8EC465-FC79-563F-AEF7-045421C3C531}">
    <xltc:text>First-30-day cosmetic buyer conversion of ALL installs; may overlap Creator buyers.</xltc:text>
  </xltc:threadedComment>
  <xltc:threadedComment ref="B11" dT="2026-09-11T10:10:37.848" personId="{61DE74F1-10D4-4075-815A-B4482A539EB6}" id="{2048DA4B-5749-14E1-BF81-A1D7A6C09AE2}">
    <xltc:text>One initial basket per converted install; no recurring cosmetic revenue included.</xltc:text>
  </xltc:threadedComment>
  <xltc:threadedComment ref="C11" dT="2026-09-11T10:10:37.848" personId="{61DE74F1-10D4-4075-815A-B4482A539EB6}" id="{E1EC2753-B564-5B2C-EC6F-88FA2803A942}">
    <xltc:text>One initial basket per converted install; no recurring cosmetic revenue included.</xltc:text>
  </xltc:threadedComment>
  <xltc:threadedComment ref="D11" dT="2026-09-11T10:10:37.848" personId="{61DE74F1-10D4-4075-815A-B4482A539EB6}" id="{BFD72AB0-471E-C1D2-9486-80FCF684F93F}">
    <xltc:text>One initial basket per converted install; no recurring cosmetic revenue included.</xltc:text>
  </xltc:threadedComment>
  <xltc:threadedComment ref="B12" dT="2026-09-11T10:10:37.848" personId="{61DE74F1-10D4-4075-815A-B4482A539EB6}" id="{26D22C30-E2BB-9D34-2D56-87B41248FBF4}">
    <xltc:text>Model assumption, NOT Finnish VAT or a jurisdictional tax rate; replace with actual sales mix.</xltc:text>
  </xltc:threadedComment>
  <xltc:threadedComment ref="C12" dT="2026-09-11T10:10:37.848" personId="{61DE74F1-10D4-4075-815A-B4482A539EB6}" id="{6128FD59-7053-0D50-EE48-8A6FE4E80BD4}">
    <xltc:text>Model assumption, NOT Finnish VAT or a jurisdictional tax rate; replace with actual sales mix.</xltc:text>
  </xltc:threadedComment>
  <xltc:threadedComment ref="D12" dT="2026-09-11T10:10:37.848" personId="{61DE74F1-10D4-4075-815A-B4482A539EB6}" id="{B683CF48-3FEF-C6DA-02BD-08569FC480B0}">
    <xltc:text>Model assumption, NOT Finnish VAT or a jurisdictional tax rate; replace with actual sales mix.</xltc:text>
  </xltc:threadedComment>
  <xltc:threadedComment ref="B13" dT="2026-09-11T10:10:37.848" personId="{61DE74F1-10D4-4075-815A-B4482A539EB6}" id="{F18E78E7-9F8A-7908-0F6D-4CD49BA54C5D}">
    <xltc:text>Planning assumption; net sales reversed before platform-fee calculation.</xltc:text>
  </xltc:threadedComment>
  <xltc:threadedComment ref="C13" dT="2026-09-11T10:10:37.848" personId="{61DE74F1-10D4-4075-815A-B4482A539EB6}" id="{D315F330-3927-52DB-7212-A15D499102B0}">
    <xltc:text>Planning assumption; net sales reversed before platform-fee calculation.</xltc:text>
  </xltc:threadedComment>
  <xltc:threadedComment ref="D13" dT="2026-09-11T10:10:37.848" personId="{61DE74F1-10D4-4075-815A-B4482A539EB6}" id="{07A67CAF-A677-B5BE-07AE-7A89C20C15A6}">
    <xltc:text>Planning assumption; net sales reversed before platform-fee calculation.</xltc:text>
  </xltc:threadedComment>
  <xltc:threadedComment ref="B14" dT="2026-09-11T10:10:37.848" personId="{61DE74F1-10D4-4075-815A-B4482A539EB6}" id="{68CB2F94-6DD4-34B8-0306-165E8F0B60D2}">
    <xltc:text>Planning blended total. Official fees depend on eligibility, territory and programme. Source: https://support.google.com/googleplay/android-developer/answer/112622?hl=en</xltc:text>
  </xltc:threadedComment>
  <xltc:threadedComment ref="C14" dT="2026-09-11T10:10:37.848" personId="{61DE74F1-10D4-4075-815A-B4482A539EB6}" id="{3A12F1D0-FB91-3DC3-0D3C-6689899419CE}">
    <xltc:text>Planning blended total. Official fees depend on eligibility, territory and programme. Source: https://support.google.com/googleplay/android-developer/answer/112622?hl=en</xltc:text>
  </xltc:threadedComment>
  <xltc:threadedComment ref="D14" dT="2026-09-11T10:10:37.848" personId="{61DE74F1-10D4-4075-815A-B4482A539EB6}" id="{89769A65-C03D-D9C6-2A78-BC7C22BFFB0C}">
    <xltc:text>Planning blended total. Official fees depend on eligibility, territory and programme. Source: https://support.google.com/googleplay/android-developer/answer/112622?hl=en</xltc:text>
  </xltc:threadedComment>
  <xltc:threadedComment ref="B15" dT="2026-09-11T10:10:37.848" personId="{61DE74F1-10D4-4075-815A-B4482A539EB6}" id="{091FB18E-0850-710C-E642-68FAB54A0ED5}">
    <xltc:text>Planning engagement ratio; NOT D1 or D30 retention.</xltc:text>
  </xltc:threadedComment>
  <xltc:threadedComment ref="C15" dT="2026-09-11T10:10:37.848" personId="{61DE74F1-10D4-4075-815A-B4482A539EB6}" id="{0CB2987C-C15F-DFA9-978B-49F7F968DD23}">
    <xltc:text>Planning engagement ratio; NOT D1 or D30 retention.</xltc:text>
  </xltc:threadedComment>
  <xltc:threadedComment ref="D15" dT="2026-09-11T10:10:37.848" personId="{61DE74F1-10D4-4075-815A-B4482A539EB6}" id="{DD548871-0985-4891-19D1-97A2B9D071BC}">
    <xltc:text>Planning engagement ratio; NOT D1 or D30 retention.</xltc:text>
  </xltc:threadedComment>
  <xltc:threadedComment ref="B16" dT="2026-09-11T10:10:37.848" personId="{61DE74F1-10D4-4075-815A-B4482A539EB6}" id="{59447EFC-1781-D11E-8C12-2946ADA28930}">
    <xltc:text>Disabled in recommended release. Optional sensitivity only; never required for performance progress.</xltc:text>
  </xltc:threadedComment>
  <xltc:threadedComment ref="C16" dT="2026-09-11T10:10:37.848" personId="{61DE74F1-10D4-4075-815A-B4482A539EB6}" id="{D8358443-D799-350C-CFAF-404B0074C39E}">
    <xltc:text>Disabled in recommended release. Optional sensitivity only; never required for performance progress.</xltc:text>
  </xltc:threadedComment>
  <xltc:threadedComment ref="D16" dT="2026-09-11T10:10:37.849" personId="{61DE74F1-10D4-4075-815A-B4482A539EB6}" id="{3AED8EB9-FAE0-3F41-9C94-393357A7E973}">
    <xltc:text>Disabled in recommended release. Optional sensitivity only; never required for performance progress.</xltc:text>
  </xltc:threadedComment>
  <xltc:threadedComment ref="B17" dT="2026-09-11T10:10:37.849" personId="{61DE74F1-10D4-4075-815A-B4482A539EB6}" id="{0E2B969B-F78D-EA8F-B8B5-A15A4B75BDD7}">
    <xltc:text>Hypothesis; only used when ads enabled. No forced ads.</xltc:text>
  </xltc:threadedComment>
  <xltc:threadedComment ref="C17" dT="2026-09-11T10:10:37.85" personId="{61DE74F1-10D4-4075-815A-B4482A539EB6}" id="{10D104A2-B940-A18F-96CB-55C3ABCEB79D}">
    <xltc:text>Hypothesis; only used when ads enabled. No forced ads.</xltc:text>
  </xltc:threadedComment>
  <xltc:threadedComment ref="D17" dT="2026-09-11T10:10:37.85" personId="{61DE74F1-10D4-4075-815A-B4482A539EB6}" id="{A2664418-99F3-30DD-E61B-414FF225C295}">
    <xltc:text>Hypothesis; only used when ads enabled. No forced ads.</xltc:text>
  </xltc:threadedComment>
  <xltc:threadedComment ref="B18" dT="2026-09-11T10:10:37.85" personId="{61DE74F1-10D4-4075-815A-B4482A539EB6}" id="{1FBE31EB-0519-705B-1826-59F2F15D6485}">
    <xltc:text>Sensitivity assumption, NOT a researched ad-market benchmark. No Play purchase commission on ad revenue.</xltc:text>
  </xltc:threadedComment>
  <xltc:threadedComment ref="C18" dT="2026-09-11T10:10:37.85" personId="{61DE74F1-10D4-4075-815A-B4482A539EB6}" id="{04568877-0F7B-5A2C-574F-7A05DB9074F2}">
    <xltc:text>Sensitivity assumption, NOT a researched ad-market benchmark. No Play purchase commission on ad revenue.</xltc:text>
  </xltc:threadedComment>
  <xltc:threadedComment ref="D18" dT="2026-09-11T10:10:37.85" personId="{61DE74F1-10D4-4075-815A-B4482A539EB6}" id="{B4298214-60DC-49E0-860E-A1174B39540F}">
    <xltc:text>Sensitivity assumption, NOT a researched ad-market benchmark. No Play purchase commission on ad revenue.</xltc:text>
  </xltc:threadedComment>
  <xltc:threadedComment ref="B19" dT="2026-09-11T10:10:37.85" personId="{61DE74F1-10D4-4075-815A-B4482A539EB6}" id="{531BDF92-C5E9-BCD2-3766-7C7054D3E15A}">
    <xltc:text>Simplifying planning convention, not a calendar-month model.</xltc:text>
  </xltc:threadedComment>
  <xltc:threadedComment ref="C19" dT="2026-09-11T10:10:37.85" personId="{61DE74F1-10D4-4075-815A-B4482A539EB6}" id="{CCBB1639-FC09-4E35-35C2-294C36DA82F1}">
    <xltc:text>Simplifying planning convention, not a calendar-month model.</xltc:text>
  </xltc:threadedComment>
  <xltc:threadedComment ref="D19" dT="2026-09-11T10:10:37.85" personId="{61DE74F1-10D4-4075-815A-B4482A539EB6}" id="{50B2ADF1-E1B3-FA89-15F1-331936BF4F4D}">
    <xltc:text>Simplifying planning convention, not a calendar-month model.</xltc:text>
  </xltc:threadedComment>
  <xltc:threadedComment ref="B20" dT="2026-09-11T10:10:37.85" personId="{61DE74F1-10D4-4075-815A-B4482A539EB6}" id="{E7A153AE-DC56-CF73-5F23-5BACDDB99C80}">
    <xltc:text>Public-service budget allowance incl. database, worker, backups and email; not a provider quote. See Sources.</xltc:text>
  </xltc:threadedComment>
  <xltc:threadedComment ref="C20" dT="2026-09-11T10:10:37.851" personId="{61DE74F1-10D4-4075-815A-B4482A539EB6}" id="{FECEF557-796E-5EEA-F508-5BF6F2EFD80B}">
    <xltc:text>Public-service budget allowance incl. database, worker, backups and email; not a provider quote. See Sources.</xltc:text>
  </xltc:threadedComment>
  <xltc:threadedComment ref="D20" dT="2026-09-11T10:10:37.851" personId="{61DE74F1-10D4-4075-815A-B4482A539EB6}" id="{F47C561D-5E83-AAF6-1817-0E70DCE9DC61}">
    <xltc:text>Public-service budget allowance incl. database, worker, backups and email; not a provider quote. See Sources.</xltc:text>
  </xltc:threadedComment>
  <xltc:threadedComment ref="B21" dT="2026-09-11T10:10:37.851" personId="{61DE74F1-10D4-4075-815A-B4482A539EB6}" id="{5A720E43-415A-5787-6921-5F123CE47546}">
    <xltc:text>Capacity allowance; benchmark replay validation before committing. Includes storage/traffic/compute allowance.</xltc:text>
  </xltc:threadedComment>
  <xltc:threadedComment ref="C21" dT="2026-09-11T10:10:37.851" personId="{61DE74F1-10D4-4075-815A-B4482A539EB6}" id="{E4CE4286-6E13-FC1C-1A0D-D77D8C8652DA}">
    <xltc:text>Capacity allowance; benchmark replay validation before committing. Includes storage/traffic/compute allowance.</xltc:text>
  </xltc:threadedComment>
  <xltc:threadedComment ref="D21" dT="2026-09-11T10:10:37.851" personId="{61DE74F1-10D4-4075-815A-B4482A539EB6}" id="{375D8B0E-0FDC-D96A-4F7D-16289D27A8CB}">
    <xltc:text>Capacity allowance; benchmark replay validation before committing. Includes storage/traffic/compute allowance.</xltc:text>
  </xltc:threadedComment>
  <xltc:threadedComment ref="B22" dT="2026-09-11T10:10:37.851" personId="{61DE74F1-10D4-4075-815A-B4482A539EB6}" id="{D203F11C-6B72-33D6-6C67-AB08A41D6001}">
    <xltc:text>External/support contingency, in addition to founder time.</xltc:text>
  </xltc:threadedComment>
  <xltc:threadedComment ref="C22" dT="2026-09-11T10:10:37.851" personId="{61DE74F1-10D4-4075-815A-B4482A539EB6}" id="{02692B6B-AFEF-5557-6EFF-E0CD565C8F65}">
    <xltc:text>External/support contingency, in addition to founder time.</xltc:text>
  </xltc:threadedComment>
  <xltc:threadedComment ref="D22" dT="2026-09-11T10:10:37.851" personId="{61DE74F1-10D4-4075-815A-B4482A539EB6}" id="{D21B5606-5A8B-4563-F3DB-4F03732ABACF}">
    <xltc:text>External/support contingency, in addition to founder time.</xltc:text>
  </xltc:threadedComment>
  <xltc:threadedComment ref="B23" dT="2026-09-11T10:10:37.851" personId="{61DE74F1-10D4-4075-815A-B4482A539EB6}" id="{8D053F60-AF83-3EA2-5DEE-96CC996CE8F8}">
    <xltc:text>No paid acquisition in baseline. Spend does not automatically create installs in this model.</xltc:text>
  </xltc:threadedComment>
  <xltc:threadedComment ref="C23" dT="2026-09-11T10:10:37.851" personId="{61DE74F1-10D4-4075-815A-B4482A539EB6}" id="{98A20A43-7FCA-9AE1-65E4-26DA84CD260D}">
    <xltc:text>No paid acquisition in baseline. Spend does not automatically create installs in this model.</xltc:text>
  </xltc:threadedComment>
  <xltc:threadedComment ref="D23" dT="2026-09-11T10:10:37.851" personId="{61DE74F1-10D4-4075-815A-B4482A539EB6}" id="{C589E140-87A5-9EA7-22BA-CB8A58476269}">
    <xltc:text>No paid acquisition in baseline. Spend does not automatically create installs in this model.</xltc:text>
  </xltc:threadedComment>
  <xltc:threadedComment ref="B24" dT="2026-09-11T10:10:37.851" personId="{61DE74F1-10D4-4075-815A-B4482A539EB6}" id="{AB48FD99-6483-F1C2-7D2B-0B48184DF4B4}">
    <xltc:text>Planning allowance for support, moderation, updates and releases; not billed as cash.</xltc:text>
  </xltc:threadedComment>
  <xltc:threadedComment ref="C24" dT="2026-09-11T10:10:37.851" personId="{61DE74F1-10D4-4075-815A-B4482A539EB6}" id="{AE80540B-5225-130E-7D07-10B16D3C904D}">
    <xltc:text>Planning allowance for support, moderation, updates and releases; not billed as cash.</xltc:text>
  </xltc:threadedComment>
  <xltc:threadedComment ref="D24" dT="2026-09-11T10:10:37.851" personId="{61DE74F1-10D4-4075-815A-B4482A539EB6}" id="{9C72D8C3-81D6-ED5A-986F-B490EBB202F3}">
    <xltc:text>Planning allowance for support, moderation, updates and releases; not billed as cash.</xltc:text>
  </xltc:threadedComment>
  <xltc:threadedComment ref="B25" dT="2026-09-11T10:10:37.851" personId="{61DE74F1-10D4-4075-815A-B4482A539EB6}" id="{3376AD87-8305-BB26-052E-F1A5A10206EA}">
    <xltc:text>Opportunity-cost assumption; not salary, tax or an external quotation.</xltc:text>
  </xltc:threadedComment>
  <xltc:threadedComment ref="C25" dT="2026-09-11T10:10:37.851" personId="{61DE74F1-10D4-4075-815A-B4482A539EB6}" id="{7DB9022F-60F3-DC01-4634-6056EDB49FFF}">
    <xltc:text>Opportunity-cost assumption; not salary, tax or an external quotation.</xltc:text>
  </xltc:threadedComment>
  <xltc:threadedComment ref="D25" dT="2026-09-11T10:10:37.851" personId="{61DE74F1-10D4-4075-815A-B4482A539EB6}" id="{256D5A97-4646-F0CB-2D8A-E62CC2CFE353}">
    <xltc:text>Opportunity-cost assumption; not salary, tax or an external quotation.</xltc:text>
  </xltc:threadedComment>
  <xltc:threadedComment ref="B26" dT="2026-09-11T10:10:37.851" personId="{61DE74F1-10D4-4075-815A-B4482A539EB6}" id="{B8D8E7BC-A9C4-A74F-BFCA-E7BD015700EF}">
    <xltc:text>Planning anchor; roadmap range with buffer is 750–1275 hours at 30 productive hours/person-week.</xltc:text>
  </xltc:threadedComment>
  <xltc:threadedComment ref="C26" dT="2026-09-11T10:10:37.851" personId="{61DE74F1-10D4-4075-815A-B4482A539EB6}" id="{642C3255-C1AA-836E-458B-C4FF0089E364}">
    <xltc:text>Planning anchor; roadmap range with buffer is 750–1275 hours at 30 productive hours/person-week.</xltc:text>
  </xltc:threadedComment>
  <xltc:threadedComment ref="D26" dT="2026-09-11T10:10:37.851" personId="{61DE74F1-10D4-4075-815A-B4482A539EB6}" id="{5A9884D2-D357-570C-E609-9BCA00D18176}">
    <xltc:text>Planning anchor; roadmap range with buffer is 750–1275 hours at 30 productive hours/person-week.</xltc:text>
  </xltc:threadedComment>
  <xltc:threadedComment ref="B27" dT="2026-09-11T10:10:37.851" personId="{61DE74F1-10D4-4075-815A-B4482A539EB6}" id="{7918D7F4-4103-CC38-FC0A-7FDFF3A89E14}">
    <xltc:text>Discretionary assets, devices, QA/legal/accounting; store registration budget is separate.</xltc:text>
  </xltc:threadedComment>
  <xltc:threadedComment ref="C27" dT="2026-09-11T10:10:37.851" personId="{61DE74F1-10D4-4075-815A-B4482A539EB6}" id="{4763BE7B-D68F-8339-0EA8-C8BD7E1F9EB4}">
    <xltc:text>Discretionary assets, devices, QA/legal/accounting; store registration budget is separate.</xltc:text>
  </xltc:threadedComment>
  <xltc:threadedComment ref="D27" dT="2026-09-11T10:10:37.851" personId="{61DE74F1-10D4-4075-815A-B4482A539EB6}" id="{264F52CE-9BAD-87B8-C7B7-71ECFFA3E4FF}">
    <xltc:text>Discretionary assets, devices, QA/legal/accounting; store registration budget is separate.</xltc:text>
  </xltc:threadedComment>
  <xltc:threadedComment ref="B28" dT="2026-09-11T10:10:37.851" personId="{61DE74F1-10D4-4075-815A-B4482A539EB6}" id="{C90AA4E1-0A61-6DB6-AF5A-26AE3243B818}">
    <xltc:text>Budget allowance, NOT a converted quote. Official Play registration is USD 25 once: https://support.google.com/googleplay/android-developer/answer/6112435?hl=en</xltc:text>
  </xltc:threadedComment>
  <xltc:threadedComment ref="C28" dT="2026-09-11T10:10:37.851" personId="{61DE74F1-10D4-4075-815A-B4482A539EB6}" id="{6702C476-DDD0-52BE-9319-7FD8E995F9DD}">
    <xltc:text>Budget allowance, NOT a converted quote. Official Play registration is USD 25 once: https://support.google.com/googleplay/android-developer/answer/6112435?hl=en</xltc:text>
  </xltc:threadedComment>
  <xltc:threadedComment ref="D28" dT="2026-09-11T10:10:37.851" personId="{61DE74F1-10D4-4075-815A-B4482A539EB6}" id="{44D838D9-3B54-40E7-DDE2-ABA90C69EF4D}">
    <xltc:text>Budget allowance, NOT a converted quote. Official Play registration is USD 25 once: https://support.google.com/googleplay/android-developer/answer/6112435?hl=en</xltc:text>
  </xltc:threadedComment>
  <xltc:threadedComment ref="B29" dT="2026-09-11T10:10:37.851" personId="{61DE74F1-10D4-4075-815A-B4482A539EB6}" id="{0FBFD26D-F295-D6CB-5A90-DB7B1EF1CE92}">
    <xltc:text>Zero deliberately exposes funding required. Negative cash means a funding gap, not financed operations.</xltc:text>
  </xltc:threadedComment>
  <xltc:threadedComment ref="C29" dT="2026-09-11T10:10:37.851" personId="{61DE74F1-10D4-4075-815A-B4482A539EB6}" id="{D5047F58-9355-1978-80DB-E7734013C1DB}">
    <xltc:text>Zero deliberately exposes funding required. Negative cash means a funding gap, not financed operations.</xltc:text>
  </xltc:threadedComment>
  <xltc:threadedComment ref="D29" dT="2026-09-11T10:10:37.851" personId="{61DE74F1-10D4-4075-815A-B4482A539EB6}" id="{CDAD433E-7A50-A66D-4EFC-3912AFE7C9C9}">
    <xltc:text>Zero deliberately exposes funding required. Negative cash means a funding gap, not financed operations.</xltc:text>
  </xltc:threadedComment>
  <xltc:threadedComment ref="B30" dT="2026-09-11T10:10:37.851" personId="{61DE74F1-10D4-4075-815A-B4482A539EB6}" id="{75D00BE0-BC78-17BC-DC2C-6E1B6F706736}">
    <xltc:text>One-month delay from acquisition to the initial purchase basket; fixed for these worksheets.</xltc:text>
  </xltc:threadedComment>
  <xltc:threadedComment ref="C30" dT="2026-09-11T10:10:37.851" personId="{61DE74F1-10D4-4075-815A-B4482A539EB6}" id="{A40A3542-74B2-6A78-6534-742B558E6F75}">
    <xltc:text>One-month delay from acquisition to the initial purchase basket; fixed for these worksheets.</xltc:text>
  </xltc:threadedComment>
  <xltc:threadedComment ref="D30" dT="2026-09-11T10:10:37.852" personId="{61DE74F1-10D4-4075-815A-B4482A539EB6}" id="{0ED69F09-C38A-3289-9831-07B0DC515546}">
    <xltc:text>One-month delay from acquisition to the initial purchase basket; fixed for these worksheets.</xltc:text>
  </xltc:threadedComment>
  <xltc:threadedComment ref="B31" dT="2026-09-11T10:10:37.852" personId="{61DE74F1-10D4-4075-815A-B4482A539EB6}" id="{A1A8BED1-5163-128A-3F3E-17FF7C16B8EA}">
    <xltc:text>Simplifying one-month collection delay; actual settlements vary.</xltc:text>
  </xltc:threadedComment>
  <xltc:threadedComment ref="C31" dT="2026-09-11T10:10:37.852" personId="{61DE74F1-10D4-4075-815A-B4482A539EB6}" id="{3E9318E7-6754-CA2B-A557-29509B2DE81D}">
    <xltc:text>Simplifying one-month collection delay; actual settlements vary.</xltc:text>
  </xltc:threadedComment>
  <xltc:threadedComment ref="D31" dT="2026-09-11T10:10:37.852" personId="{61DE74F1-10D4-4075-815A-B4482A539EB6}" id="{7558CBA6-FECC-3935-8520-6757757BE8AC}">
    <xltc:text>Simplifying one-month collection delay; actual settlements vary.</xltc:text>
  </xltc:threadedComment>
  <xltc:threadedComment ref="B32" dT="2026-09-11T10:10:37.852" personId="{61DE74F1-10D4-4075-815A-B4482A539EB6}" id="{D07E3827-0960-EC1F-D5CB-B68BEE94D588}">
    <xltc:text>Fraction of acquisition cohort active at least once in month 0; planning input.</xltc:text>
  </xltc:threadedComment>
  <xltc:threadedComment ref="C32" dT="2026-09-11T10:10:37.852" personId="{61DE74F1-10D4-4075-815A-B4482A539EB6}" id="{4E00901E-9ED3-1953-A207-C81C5AD27138}">
    <xltc:text>Fraction of acquisition cohort active at least once in month 0; planning input.</xltc:text>
  </xltc:threadedComment>
  <xltc:threadedComment ref="D32" dT="2026-09-11T10:10:37.852" personId="{61DE74F1-10D4-4075-815A-B4482A539EB6}" id="{EEFD42DA-918C-FB8C-6486-C33E0929C23D}">
    <xltc:text>Fraction of acquisition cohort active at least once in month 0; planning input.</xltc:text>
  </xltc:threadedComment>
  <xltc:threadedComment ref="B33" dT="2026-09-11T10:10:37.852" personId="{61DE74F1-10D4-4075-815A-B4482A539EB6}" id="{7A80F32F-B12E-6116-EBC0-B3877DF5D3BE}">
    <xltc:text>Fraction of original install cohort active in month 1; NOT D30 retention.</xltc:text>
  </xltc:threadedComment>
  <xltc:threadedComment ref="C33" dT="2026-09-11T10:10:37.852" personId="{61DE74F1-10D4-4075-815A-B4482A539EB6}" id="{A01886B1-A328-1F33-BDF0-FD464A3FF1B4}">
    <xltc:text>Fraction of original install cohort active in month 1; NOT D30 retention.</xltc:text>
  </xltc:threadedComment>
  <xltc:threadedComment ref="D33" dT="2026-09-11T10:10:37.852" personId="{61DE74F1-10D4-4075-815A-B4482A539EB6}" id="{C4423B3E-715F-7EEA-42BB-6B405AE5DCB5}">
    <xltc:text>Fraction of original install cohort active in month 1; NOT D30 retention.</xltc:text>
  </xltc:threadedComment>
  <xltc:threadedComment ref="B34" dT="2026-09-11T10:10:37.852" personId="{61DE74F1-10D4-4075-815A-B4482A539EB6}" id="{BBBF9A19-07E6-0D39-D178-A013BB72C430}">
    <xltc:text>Fraction of original install cohort active in month 2.</xltc:text>
  </xltc:threadedComment>
  <xltc:threadedComment ref="C34" dT="2026-09-11T10:10:37.852" personId="{61DE74F1-10D4-4075-815A-B4482A539EB6}" id="{547EE642-5D8E-C57A-7B2E-E3A7299A5ED2}">
    <xltc:text>Fraction of original install cohort active in month 2.</xltc:text>
  </xltc:threadedComment>
  <xltc:threadedComment ref="D34" dT="2026-09-11T10:10:37.852" personId="{61DE74F1-10D4-4075-815A-B4482A539EB6}" id="{C39DDBEA-3211-F811-4DAC-ACC6B50D43C6}">
    <xltc:text>Fraction of original install cohort active in month 2.</xltc:text>
  </xltc:threadedComment>
  <xltc:threadedComment ref="B35" dT="2026-09-11T10:10:37.852" personId="{61DE74F1-10D4-4075-815A-B4482A539EB6}" id="{FDAB11F5-A47E-387B-462C-72E37A628930}">
    <xltc:text>Fraction of original install cohort active in month 3.</xltc:text>
  </xltc:threadedComment>
  <xltc:threadedComment ref="C35" dT="2026-09-11T10:10:37.852" personId="{61DE74F1-10D4-4075-815A-B4482A539EB6}" id="{1508CC96-2A73-0C5B-0A8C-0645B15C4B6D}">
    <xltc:text>Fraction of original install cohort active in month 3.</xltc:text>
  </xltc:threadedComment>
  <xltc:threadedComment ref="D35" dT="2026-09-11T10:10:37.852" personId="{61DE74F1-10D4-4075-815A-B4482A539EB6}" id="{62E43251-6285-6439-C1AA-D97C21790467}">
    <xltc:text>Fraction of original install cohort active in month 3.</xltc:text>
  </xltc:threadedComment>
  <xltc:threadedComment ref="B36" dT="2026-09-11T10:10:37.852" personId="{61DE74F1-10D4-4075-815A-B4482A539EB6}" id="{0A07C5CF-CA08-6059-88D0-B8370D6E7876}">
    <xltc:text>Each subsequent monthly activity fraction = prior fraction times this value.</xltc:text>
  </xltc:threadedComment>
  <xltc:threadedComment ref="C36" dT="2026-09-11T10:10:37.852" personId="{61DE74F1-10D4-4075-815A-B4482A539EB6}" id="{E8A9B66E-F0FE-31AA-A4D6-C116BB8B4F15}">
    <xltc:text>Each subsequent monthly activity fraction = prior fraction times this value.</xltc:text>
  </xltc:threadedComment>
  <xltc:threadedComment ref="D36" dT="2026-09-11T10:10:37.852" personId="{61DE74F1-10D4-4075-815A-B4482A539EB6}" id="{C2E70640-FE66-0B90-A85D-3F43695BDFF9}">
    <xltc:text>Each subsequent monthly activity fraction = prior fraction times this value.</xltc:text>
  </xltc:threadedComment>
</xltc:ThreadedComments>
</file>

<file path=xl/worksheets/_rels/sheet2.xml.rels>&#65279;<?xml version="1.0" encoding="utf-8"?><Relationships xmlns="http://schemas.openxmlformats.org/package/2006/relationships"><Relationship Type="http://schemas.openxmlformats.org/officeDocument/2006/relationships/comments" Target="/xl/comments1.xml" Id="R6a39d1ff3c404f5f" /><Relationship Type="http://schemas.openxmlformats.org/officeDocument/2006/relationships/vmlDrawing" Target="/xl/drawings/vmldrawing.vml" Id="R9798b0919b7146bf" /><Relationship Type="http://schemas.microsoft.com/office/2017/10/relationships/threadedComment" Target="/xl/threadedcomments/threadedcomment.xml" Id="R26f971185efc47e7" /></Relationships>
</file>

<file path=xl/worksheets/_rels/sheet7.xml.rels>&#65279;<?xml version="1.0" encoding="utf-8"?><Relationships xmlns="http://schemas.openxmlformats.org/package/2006/relationships"><Relationship Type="http://schemas.openxmlformats.org/officeDocument/2006/relationships/drawing" Target="/xl/drawings/drawing1.xml" Id="Rff64e694e3c942a6" /></Relationships>
</file>

<file path=xl/worksheets/sheet1.xml><?xml version="1.0" encoding="utf-8"?>
<x:worksheet xmlns:x="http://schemas.openxmlformats.org/spreadsheetml/2006/main">
  <x:sheetViews>
    <x:sheetView showGridLines="0" workbookViewId="0"/>
  </x:sheetViews>
  <x:sheetFormatPr defaultRowHeight="15"/>
  <x:cols>
    <x:col min="1" max="1" width="39" hidden="0" customWidth="1"/>
    <x:col min="2" max="2" width="110" hidden="0" customWidth="1"/>
    <x:col min="3" max="3" width="16" hidden="0" customWidth="1"/>
    <x:col min="4" max="4" width="16" hidden="0" customWidth="1"/>
    <x:col min="5" max="5" width="16" hidden="0" customWidth="1"/>
    <x:col min="6" max="6" width="16" hidden="0" customWidth="1"/>
  </x:cols>
  <x:sheetData>
    <x:row r="1" ht="22" customHeight="1">
      <x:c r="A1" s="12" t="str">
        <x:v>CIRCUIT / 01
Financial planning model · v1.0</x:v>
      </x:c>
      <x:c r="B1" s="12"/>
      <x:c r="C1" s="12"/>
      <x:c r="D1" s="12"/>
      <x:c r="E1" s="6"/>
      <x:c r="F1" s="6"/>
    </x:row>
    <x:row r="2" ht="22" customHeight="1">
      <x:c r="A2" s="14"/>
      <x:c r="B2" s="14"/>
      <x:c r="C2" s="14"/>
      <x:c r="D2" s="14"/>
      <x:c r="E2" s="6"/>
      <x:c r="F2" s="6"/>
    </x:row>
    <x:row r="3" ht="22" customHeight="1">
      <x:c r="A3" s="15"/>
      <x:c r="B3" s="15"/>
      <x:c r="C3" s="15"/>
      <x:c r="D3" s="15"/>
      <x:c r="E3" s="6"/>
      <x:c r="F3" s="6"/>
    </x:row>
    <x:row r="4" ht="22" customHeight="1">
      <x:c r="A4" s="6"/>
      <x:c r="B4" s="6"/>
      <x:c r="C4" s="6"/>
      <x:c r="D4" s="6"/>
      <x:c r="E4" s="6"/>
      <x:c r="F4" s="6"/>
    </x:row>
    <x:row r="5" ht="56" customHeight="1">
      <x:c r="A5" s="20" t="str">
        <x:v>Purpose</x:v>
      </x:c>
      <x:c r="B5" s="20" t="str">
        <x:v>Test a fair, mostly organic Android racing-game business. These are scenario assumptions, not forecasts, comparable-game sales, or promised returns.</x:v>
      </x:c>
      <x:c r="C5" s="20"/>
      <x:c r="D5" s="20"/>
      <x:c r="E5" s="6"/>
      <x:c r="F5" s="6"/>
    </x:row>
    <x:row r="6" ht="56" customHeight="1">
      <x:c r="A6" s="24" t="str">
        <x:v>Start here</x:v>
      </x:c>
      <x:c r="B6" s="15" t="str">
        <x:v>Change blue cells in Assumptions. Review Dashboard, then the monthly scenario sheets. Low/Base/Strong are separate scenarios, not probabilities.</x:v>
      </x:c>
      <x:c r="C6" s="6"/>
      <x:c r="D6" s="6"/>
      <x:c r="E6" s="6"/>
      <x:c r="F6" s="6"/>
    </x:row>
    <x:row r="7" ht="56" customHeight="1">
      <x:c r="A7" s="24" t="str">
        <x:v>Time horizon</x:v>
      </x:c>
      <x:c r="B7" s="15" t="str">
        <x:v>24 months after launch. A cohort pays after the configured purchase lag; cash arrives after the payout lag. Later receipts and later cohort conversions are not included.</x:v>
      </x:c>
      <x:c r="C7" s="6"/>
      <x:c r="D7" s="6"/>
      <x:c r="E7" s="6"/>
      <x:c r="F7" s="6"/>
    </x:row>
    <x:row r="8" ht="56" customHeight="1">
      <x:c r="A8" s="24" t="str">
        <x:v>Monetization</x:v>
      </x:c>
      <x:c r="B8" s="15" t="str">
        <x:v>Creator capacity and cosmetic initial baskets. Every gameplay-affecting car, part and tuning option is earned. Ads are off. No recurring purchase revenue or subscriptions are assumed.</x:v>
      </x:c>
      <x:c r="C8" s="6"/>
      <x:c r="D8" s="6"/>
      <x:c r="E8" s="6"/>
      <x:c r="F8" s="6"/>
    </x:row>
    <x:row r="9" ht="56" customHeight="1">
      <x:c r="A9" s="24" t="str">
        <x:v>What 'profit' means</x:v>
      </x:c>
      <x:c r="B9" s="15" t="str">
        <x:v>Operating contribution = earned net revenue less cash running costs. Result before founder time also deducts prelaunch spending. Economic result deducts founder time. Cash balance uses actual modelled collection timing and is shown separately.</x:v>
      </x:c>
      <x:c r="C9" s="6"/>
      <x:c r="D9" s="6"/>
      <x:c r="E9" s="6"/>
      <x:c r="F9" s="6"/>
    </x:row>
    <x:row r="10" ht="56" customHeight="1">
      <x:c r="A10" s="24" t="str">
        <x:v>Tax handling</x:v>
      </x:c>
      <x:c r="B10" s="15" t="str">
        <x:v>Consumer prices include an assumed blended sales tax; remove it once, then refunds, then total Play fees. Income/corporate tax, financing, FX settlement and depreciation are excluded.</x:v>
      </x:c>
      <x:c r="C10" s="6"/>
      <x:c r="D10" s="6"/>
      <x:c r="E10" s="6"/>
      <x:c r="F10" s="6"/>
    </x:row>
    <x:row r="11" ht="56" customHeight="1">
      <x:c r="A11" s="24" t="str">
        <x:v>Fees</x:v>
      </x:c>
      <x:c r="B11" s="15" t="str">
        <x:v>A 15% total Play fee is a planning baseline, not a universal entitlement. Official 2026 pages distinguish service/billing charges and programme/territory conditions. Stress to 30%.</x:v>
      </x:c>
      <x:c r="C11" s="6"/>
      <x:c r="D11" s="6"/>
      <x:c r="E11" s="6"/>
      <x:c r="F11" s="6"/>
    </x:row>
    <x:row r="12" ht="56" customHeight="1">
      <x:c r="A12" s="24" t="str">
        <x:v>Hosting</x:v>
      </x:c>
      <x:c r="B12" s="15" t="str">
        <x:v>Cash cloud inputs are budget allowances, not exact bills. Price verification and a replay workload benchmark are release gates. Free tiers do not guarantee free production.</x:v>
      </x:c>
      <x:c r="C12" s="6"/>
      <x:c r="D12" s="6"/>
      <x:c r="E12" s="6"/>
      <x:c r="F12" s="6"/>
    </x:row>
    <x:row r="13" ht="56" customHeight="1">
      <x:c r="A13" s="24" t="str">
        <x:v>Acquisition</x:v>
      </x:c>
      <x:c r="B13" s="15" t="str">
        <x:v>Paid spend starts at zero. Raising spend alone does not raise installs; change acquisition assumptions explicitly. Organic installs still require founder effort.</x:v>
      </x:c>
      <x:c r="C13" s="6"/>
      <x:c r="D13" s="6"/>
      <x:c r="E13" s="6"/>
      <x:c r="F13" s="6"/>
    </x:row>
    <x:row r="14" ht="56" customHeight="1">
      <x:c r="A14" s="24" t="str">
        <x:v>Conversions</x:v>
      </x:c>
      <x:c r="B14" s="15" t="str">
        <x:v>Creator and cosmetic conversion rates both use ALL new installs as denominator, may overlap, and are initial 30-day-equivalent assumptions. Expected purchases need not be whole numbers.</x:v>
      </x:c>
      <x:c r="C14" s="6"/>
      <x:c r="D14" s="6"/>
      <x:c r="E14" s="6"/>
      <x:c r="F14" s="6"/>
    </x:row>
    <x:row r="15" ht="56" customHeight="1">
      <x:c r="A15" s="24" t="str">
        <x:v>Retention</x:v>
      </x:c>
      <x:c r="B15" s="15" t="str">
        <x:v>Retention sheet is MONTHLY cohort activity, not D1/D7/D30 retention. New-cohort activity and decay drive MAU and operating costs.</x:v>
      </x:c>
      <x:c r="C15" s="6"/>
      <x:c r="D15" s="6"/>
      <x:c r="E15" s="6"/>
      <x:c r="F15" s="6"/>
    </x:row>
    <x:row r="16" ht="56" customHeight="1">
      <x:c r="A16" s="24" t="str">
        <x:v>Limits</x:v>
      </x:c>
      <x:c r="B16" s="15" t="str">
        <x:v>No churn-based subscription LTV, market-size ceiling, VAT return or legal/tax advice. Ads are sensitivity only and may change retention; model does not estimate that effect.</x:v>
      </x:c>
      <x:c r="C16" s="6"/>
      <x:c r="D16" s="6"/>
      <x:c r="E16" s="6"/>
      <x:c r="F16" s="6"/>
    </x:row>
    <x:row r="17" ht="56" customHeight="1">
      <x:c r="A17" s="24" t="str">
        <x:v>Cash constraint</x:v>
      </x:c>
      <x:c r="B17" s="15" t="str">
        <x:v>Opening funding = 0 exposes the amount that must be funded. A profitable full horizon can still require up-front cash.</x:v>
      </x:c>
      <x:c r="C17" s="6"/>
      <x:c r="D17" s="6"/>
      <x:c r="E17" s="6"/>
      <x:c r="F17" s="6"/>
    </x:row>
    <x:row r="18" ht="56" customHeight="1">
      <x:c r="A18" s="24" t="str">
        <x:v>Provenance</x:v>
      </x:c>
      <x:c r="B18" s="15" t="str">
        <x:v>Model inputs carry comments and explanatory sources. Verified prices and policy links are on Sources. Checked 11 September 2026.</x:v>
      </x:c>
      <x:c r="C18" s="6"/>
      <x:c r="D18" s="6"/>
      <x:c r="E18" s="6"/>
      <x:c r="F18" s="6"/>
    </x:row>
    <x:row r="19" ht="22" customHeight="1">
      <x:c r="A19" s="6"/>
      <x:c r="B19" s="6"/>
      <x:c r="C19" s="6"/>
      <x:c r="D19" s="6"/>
      <x:c r="E19" s="6"/>
      <x:c r="F19" s="6"/>
    </x:row>
    <x:row r="20" ht="22" customHeight="1">
      <x:c r="A20" s="6"/>
      <x:c r="B20" s="6"/>
      <x:c r="C20" s="6"/>
      <x:c r="D20" s="6"/>
      <x:c r="E20" s="6"/>
      <x:c r="F20" s="6"/>
    </x:row>
    <x:row r="21" ht="27" customHeight="1">
      <x:c r="A21" s="27" t="str">
        <x:v>Recommended decision rule: fund only the next development gate. Do not buy users until measured net contribution per acquired player exceeds acquisition cost with a safety margin.</x:v>
      </x:c>
      <x:c r="B21" s="27"/>
      <x:c r="C21" s="27"/>
      <x:c r="D21" s="27"/>
      <x:c r="E21" s="27"/>
      <x:c r="F21" s="27"/>
    </x:row>
    <x:row r="22" ht="27" customHeight="1">
      <x:c r="A22" s="27"/>
      <x:c r="B22" s="27"/>
      <x:c r="C22" s="27"/>
      <x:c r="D22" s="27"/>
      <x:c r="E22" s="27"/>
      <x:c r="F22" s="27"/>
    </x:row>
  </x:sheetData>
  <x:mergeCells>
    <x:mergeCell ref="A1:F2"/>
    <x:mergeCell ref="A21:F22"/>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39" hidden="0" customWidth="1"/>
    <x:col min="2" max="2" width="15" hidden="0" customWidth="1"/>
    <x:col min="3" max="3" width="15" hidden="0" customWidth="1"/>
    <x:col min="4" max="4" width="15" hidden="0" customWidth="1"/>
    <x:col min="5" max="5" width="16" hidden="0" customWidth="1"/>
    <x:col min="6" max="6" width="60" hidden="0" customWidth="1"/>
    <x:col min="7" max="7" width="16" hidden="0" customWidth="1"/>
  </x:cols>
  <x:sheetData>
    <x:row r="1" ht="22" customHeight="1">
      <x:c r="A1" s="12" t="str">
        <x:v>CIRCUIT / 01 — Financial assumptions</x:v>
      </x:c>
      <x:c r="B1" s="12"/>
      <x:c r="C1" s="12"/>
      <x:c r="D1" s="12"/>
      <x:c r="E1" s="6"/>
      <x:c r="F1" s="6"/>
      <x:c r="G1" s="6"/>
    </x:row>
    <x:row r="2" ht="22" customHeight="1">
      <x:c r="A2" s="14" t="str">
        <x:v>24 months after launch | EUR | Illustrative scenarios, not forecasts. Blue numbers are editable. No ads or paid acquisition in baseline. Prices are proposals.</x:v>
      </x:c>
      <x:c r="B2" s="14"/>
      <x:c r="C2" s="14"/>
      <x:c r="D2" s="14"/>
      <x:c r="E2" s="6"/>
      <x:c r="F2" s="6"/>
      <x:c r="G2" s="6"/>
    </x:row>
    <x:row r="3" ht="22" customHeight="1">
      <x:c r="A3" s="15"/>
      <x:c r="B3" s="15"/>
      <x:c r="C3" s="15"/>
      <x:c r="D3" s="15"/>
      <x:c r="E3" s="6"/>
      <x:c r="F3" s="6"/>
      <x:c r="G3" s="6"/>
    </x:row>
    <x:row r="4" ht="22" customHeight="1">
      <x:c r="A4" s="6"/>
      <x:c r="B4" s="6"/>
      <x:c r="C4" s="6"/>
      <x:c r="D4" s="6"/>
      <x:c r="E4" s="6"/>
      <x:c r="F4" s="6"/>
      <x:c r="G4" s="6"/>
    </x:row>
    <x:row r="5" ht="35" customHeight="1">
      <x:c r="A5" s="20" t="str">
        <x:v>INPUT</x:v>
      </x:c>
      <x:c r="B5" s="20" t="str">
        <x:v>LOW</x:v>
      </x:c>
      <x:c r="C5" s="20" t="str">
        <x:v>BASE</x:v>
      </x:c>
      <x:c r="D5" s="20" t="str">
        <x:v>STRONG</x:v>
      </x:c>
      <x:c r="E5" s="20" t="str">
        <x:v>UNIT</x:v>
      </x:c>
      <x:c r="F5" s="20" t="str">
        <x:v>BASIS / LIMITATION</x:v>
      </x:c>
      <x:c r="G5" s="20" t="str">
        <x:v>REFERENCE</x:v>
      </x:c>
    </x:row>
    <x:row r="6" ht="49" customHeight="1">
      <x:c r="A6" s="15" t="str">
        <x:v>New installs in launch month</x:v>
      </x:c>
      <x:c r="B6" s="30" t="n">
        <x:v>250</x:v>
      </x:c>
      <x:c r="C6" s="30" t="n">
        <x:v>2000</x:v>
      </x:c>
      <x:c r="D6" s="30" t="n">
        <x:v>20000</x:v>
      </x:c>
      <x:c r="E6" s="6" t="str">
        <x:v>installs</x:v>
      </x:c>
      <x:c r="F6" s="15" t="str">
        <x:v>Planning scenario; not a forecast or market benchmark.</x:v>
      </x:c>
      <x:c r="G6" s="15" t="str">
        <x:v>See Sources</x:v>
      </x:c>
    </x:row>
    <x:row r="7" ht="49" customHeight="1">
      <x:c r="A7" s="15" t="str">
        <x:v>Monthly install growth</x:v>
      </x:c>
      <x:c r="B7" s="32" t="n">
        <x:v>0.02</x:v>
      </x:c>
      <x:c r="C7" s="32" t="n">
        <x:v>0.05</x:v>
      </x:c>
      <x:c r="D7" s="32" t="n">
        <x:v>0.08</x:v>
      </x:c>
      <x:c r="E7" s="6" t="str">
        <x:v>%</x:v>
      </x:c>
      <x:c r="F7" s="15" t="str">
        <x:v>Planning assumption; no paid-acquisition lift is assumed.</x:v>
      </x:c>
      <x:c r="G7" s="15" t="str">
        <x:v>See Sources</x:v>
      </x:c>
    </x:row>
    <x:row r="8" ht="49" customHeight="1">
      <x:c r="A8" s="15" t="str">
        <x:v>Creator purchase conversion / new installs</x:v>
      </x:c>
      <x:c r="B8" s="32" t="n">
        <x:v>0.004</x:v>
      </x:c>
      <x:c r="C8" s="32" t="n">
        <x:v>0.015</x:v>
      </x:c>
      <x:c r="D8" s="32" t="n">
        <x:v>0.03</x:v>
      </x:c>
      <x:c r="E8" s="6" t="str">
        <x:v>%</x:v>
      </x:c>
      <x:c r="F8" s="15" t="str">
        <x:v>First-30-day, one-time conversion of ALL installs; hypothesis, not measured.</x:v>
      </x:c>
      <x:c r="G8" s="15" t="str">
        <x:v>See Sources</x:v>
      </x:c>
    </x:row>
    <x:row r="9" ht="49" customHeight="1">
      <x:c r="A9" s="15" t="str">
        <x:v>Creator price incl. sales tax</x:v>
      </x:c>
      <x:c r="B9" s="34" t="n">
        <x:v>6.99</x:v>
      </x:c>
      <x:c r="C9" s="34" t="n">
        <x:v>6.99</x:v>
      </x:c>
      <x:c r="D9" s="34" t="n">
        <x:v>6.99</x:v>
      </x:c>
      <x:c r="E9" s="6" t="str">
        <x:v>EUR</x:v>
      </x:c>
      <x:c r="F9" s="15" t="str">
        <x:v>Proposed price; local store prices may differ.</x:v>
      </x:c>
      <x:c r="G9" s="15" t="str">
        <x:v>See Sources</x:v>
      </x:c>
    </x:row>
    <x:row r="10" ht="49" customHeight="1">
      <x:c r="A10" s="15" t="str">
        <x:v>Cosmetic purchase conversion / new installs</x:v>
      </x:c>
      <x:c r="B10" s="32" t="n">
        <x:v>0.005</x:v>
      </x:c>
      <x:c r="C10" s="32" t="n">
        <x:v>0.02</x:v>
      </x:c>
      <x:c r="D10" s="32" t="n">
        <x:v>0.04</x:v>
      </x:c>
      <x:c r="E10" s="6" t="str">
        <x:v>%</x:v>
      </x:c>
      <x:c r="F10" s="15" t="str">
        <x:v>First-30-day cosmetic buyer conversion of ALL installs; may overlap Creator buyers.</x:v>
      </x:c>
      <x:c r="G10" s="15" t="str">
        <x:v>See Sources</x:v>
      </x:c>
    </x:row>
    <x:row r="11" ht="49" customHeight="1">
      <x:c r="A11" s="15" t="str">
        <x:v>Cosmetic basket incl. sales tax</x:v>
      </x:c>
      <x:c r="B11" s="34" t="n">
        <x:v>3.99</x:v>
      </x:c>
      <x:c r="C11" s="34" t="n">
        <x:v>4.99</x:v>
      </x:c>
      <x:c r="D11" s="34" t="n">
        <x:v>7.99</x:v>
      </x:c>
      <x:c r="E11" s="6" t="str">
        <x:v>EUR</x:v>
      </x:c>
      <x:c r="F11" s="15" t="str">
        <x:v>One initial basket per converted install; no recurring cosmetic revenue included.</x:v>
      </x:c>
      <x:c r="G11" s="15" t="str">
        <x:v>See Sources</x:v>
      </x:c>
    </x:row>
    <x:row r="12" ht="49" customHeight="1">
      <x:c r="A12" s="15" t="str">
        <x:v>Weighted sales tax in consumer price</x:v>
      </x:c>
      <x:c r="B12" s="32" t="n">
        <x:v>0.2</x:v>
      </x:c>
      <x:c r="C12" s="32" t="n">
        <x:v>0.2</x:v>
      </x:c>
      <x:c r="D12" s="32" t="n">
        <x:v>0.2</x:v>
      </x:c>
      <x:c r="E12" s="6" t="str">
        <x:v>%</x:v>
      </x:c>
      <x:c r="F12" s="15" t="str">
        <x:v>Model assumption, NOT Finnish VAT or a jurisdictional tax rate; replace with actual sales mix.</x:v>
      </x:c>
      <x:c r="G12" s="15" t="str">
        <x:v>See Sources</x:v>
      </x:c>
    </x:row>
    <x:row r="13" ht="49" customHeight="1">
      <x:c r="A13" s="15" t="str">
        <x:v>Refund rate after tax removal</x:v>
      </x:c>
      <x:c r="B13" s="32" t="n">
        <x:v>0.03</x:v>
      </x:c>
      <x:c r="C13" s="32" t="n">
        <x:v>0.03</x:v>
      </x:c>
      <x:c r="D13" s="32" t="n">
        <x:v>0.03</x:v>
      </x:c>
      <x:c r="E13" s="6" t="str">
        <x:v>%</x:v>
      </x:c>
      <x:c r="F13" s="15" t="str">
        <x:v>Planning assumption; net sales reversed before platform-fee calculation.</x:v>
      </x:c>
      <x:c r="G13" s="15" t="str">
        <x:v>See Sources</x:v>
      </x:c>
    </x:row>
    <x:row r="14" ht="49" customHeight="1">
      <x:c r="A14" s="15" t="str">
        <x:v>Effective Play service + billing fee</x:v>
      </x:c>
      <x:c r="B14" s="38" t="n">
        <x:v>0.15</x:v>
      </x:c>
      <x:c r="C14" s="38" t="n">
        <x:v>0.15</x:v>
      </x:c>
      <x:c r="D14" s="38" t="n">
        <x:v>0.15</x:v>
      </x:c>
      <x:c r="E14" s="6" t="str">
        <x:v>%</x:v>
      </x:c>
      <x:c r="F14" s="15" t="str">
        <x:v>Planning blended total. Official fees depend on eligibility, territory and programme. Source: https://support.google.com/googleplay/android-developer/answer/112622?hl=en</x:v>
      </x:c>
      <x:c r="G14" s="15" t="str">
        <x:v>See Sources</x:v>
      </x:c>
    </x:row>
    <x:row r="15" ht="49" customHeight="1">
      <x:c r="A15" s="15" t="str">
        <x:v>DAU / MAU</x:v>
      </x:c>
      <x:c r="B15" s="32" t="n">
        <x:v>0.15</x:v>
      </x:c>
      <x:c r="C15" s="32" t="n">
        <x:v>0.2</x:v>
      </x:c>
      <x:c r="D15" s="32" t="n">
        <x:v>0.25</x:v>
      </x:c>
      <x:c r="E15" s="6" t="str">
        <x:v>%</x:v>
      </x:c>
      <x:c r="F15" s="15" t="str">
        <x:v>Planning engagement ratio; NOT D1 or D30 retention.</x:v>
      </x:c>
      <x:c r="G15" s="15" t="str">
        <x:v>See Sources</x:v>
      </x:c>
    </x:row>
    <x:row r="16" ht="49" customHeight="1">
      <x:c r="A16" s="15" t="str">
        <x:v>Rewarded ads enabled (0/1)</x:v>
      </x:c>
      <x:c r="B16" s="30" t="n">
        <x:v>0</x:v>
      </x:c>
      <x:c r="C16" s="30" t="n">
        <x:v>0</x:v>
      </x:c>
      <x:c r="D16" s="30" t="n">
        <x:v>0</x:v>
      </x:c>
      <x:c r="E16" s="6" t="str">
        <x:v>0/1</x:v>
      </x:c>
      <x:c r="F16" s="15" t="str">
        <x:v>Disabled in recommended release. Optional sensitivity only; never required for performance progress.</x:v>
      </x:c>
      <x:c r="G16" s="15" t="str">
        <x:v>See Sources</x:v>
      </x:c>
    </x:row>
    <x:row r="17" ht="49" customHeight="1">
      <x:c r="A17" s="15" t="str">
        <x:v>Opt-in rewarded views / DAU / day</x:v>
      </x:c>
      <x:c r="B17" s="30" t="n">
        <x:v>0.1</x:v>
      </x:c>
      <x:c r="C17" s="30" t="n">
        <x:v>0.25</x:v>
      </x:c>
      <x:c r="D17" s="30" t="n">
        <x:v>0.5</x:v>
      </x:c>
      <x:c r="E17" s="6" t="str">
        <x:v>views</x:v>
      </x:c>
      <x:c r="F17" s="15" t="str">
        <x:v>Hypothesis; only used when ads enabled. No forced ads.</x:v>
      </x:c>
      <x:c r="G17" s="15" t="str">
        <x:v>See Sources</x:v>
      </x:c>
    </x:row>
    <x:row r="18" ht="49" customHeight="1">
      <x:c r="A18" s="15" t="str">
        <x:v>Publisher-net rewarded ad eCPM</x:v>
      </x:c>
      <x:c r="B18" s="34" t="n">
        <x:v>4</x:v>
      </x:c>
      <x:c r="C18" s="34" t="n">
        <x:v>6</x:v>
      </x:c>
      <x:c r="D18" s="34" t="n">
        <x:v>8</x:v>
      </x:c>
      <x:c r="E18" s="6" t="str">
        <x:v>EUR/1000</x:v>
      </x:c>
      <x:c r="F18" s="15" t="str">
        <x:v>Sensitivity assumption, NOT a researched ad-market benchmark. No Play purchase commission on ad revenue.</x:v>
      </x:c>
      <x:c r="G18" s="15" t="str">
        <x:v>See Sources</x:v>
      </x:c>
    </x:row>
    <x:row r="19" ht="49" customHeight="1">
      <x:c r="A19" s="15" t="str">
        <x:v>Days per model month</x:v>
      </x:c>
      <x:c r="B19" s="30" t="n">
        <x:v>30</x:v>
      </x:c>
      <x:c r="C19" s="30" t="n">
        <x:v>30</x:v>
      </x:c>
      <x:c r="D19" s="30" t="n">
        <x:v>30</x:v>
      </x:c>
      <x:c r="E19" s="6" t="str">
        <x:v>days</x:v>
      </x:c>
      <x:c r="F19" s="15" t="str">
        <x:v>Simplifying planning convention, not a calendar-month model.</x:v>
      </x:c>
      <x:c r="G19" s="15" t="str">
        <x:v>See Sources</x:v>
      </x:c>
    </x:row>
    <x:row r="20" ht="49" customHeight="1">
      <x:c r="A20" s="15" t="str">
        <x:v>Fixed cloud / tools per month</x:v>
      </x:c>
      <x:c r="B20" s="34" t="n">
        <x:v>40</x:v>
      </x:c>
      <x:c r="C20" s="34" t="n">
        <x:v>80</x:v>
      </x:c>
      <x:c r="D20" s="34" t="n">
        <x:v>250</x:v>
      </x:c>
      <x:c r="E20" s="6" t="str">
        <x:v>EUR</x:v>
      </x:c>
      <x:c r="F20" s="15" t="str">
        <x:v>Public-service budget allowance incl. database, worker, backups and email; not a provider quote. See Sources.</x:v>
      </x:c>
      <x:c r="G20" s="15" t="str">
        <x:v>See Sources</x:v>
      </x:c>
    </x:row>
    <x:row r="21" ht="49" customHeight="1">
      <x:c r="A21" s="15" t="str">
        <x:v>Variable cloud per 1000 MAU</x:v>
      </x:c>
      <x:c r="B21" s="34" t="n">
        <x:v>2</x:v>
      </x:c>
      <x:c r="C21" s="34" t="n">
        <x:v>3</x:v>
      </x:c>
      <x:c r="D21" s="34" t="n">
        <x:v>4</x:v>
      </x:c>
      <x:c r="E21" s="6" t="str">
        <x:v>EUR</x:v>
      </x:c>
      <x:c r="F21" s="15" t="str">
        <x:v>Capacity allowance; benchmark replay validation before committing. Includes storage/traffic/compute allowance.</x:v>
      </x:c>
      <x:c r="G21" s="15" t="str">
        <x:v>See Sources</x:v>
      </x:c>
    </x:row>
    <x:row r="22" ht="49" customHeight="1">
      <x:c r="A22" s="15" t="str">
        <x:v>Cash support / moderation per month</x:v>
      </x:c>
      <x:c r="B22" s="34" t="n">
        <x:v>10</x:v>
      </x:c>
      <x:c r="C22" s="34" t="n">
        <x:v>50</x:v>
      </x:c>
      <x:c r="D22" s="34" t="n">
        <x:v>400</x:v>
      </x:c>
      <x:c r="E22" s="6" t="str">
        <x:v>EUR</x:v>
      </x:c>
      <x:c r="F22" s="15" t="str">
        <x:v>External/support contingency, in addition to founder time.</x:v>
      </x:c>
      <x:c r="G22" s="15" t="str">
        <x:v>See Sources</x:v>
      </x:c>
    </x:row>
    <x:row r="23" ht="49" customHeight="1">
      <x:c r="A23" s="15" t="str">
        <x:v>Paid marketing spend per month</x:v>
      </x:c>
      <x:c r="B23" s="34" t="n">
        <x:v>0</x:v>
      </x:c>
      <x:c r="C23" s="34" t="n">
        <x:v>0</x:v>
      </x:c>
      <x:c r="D23" s="34" t="n">
        <x:v>0</x:v>
      </x:c>
      <x:c r="E23" s="6" t="str">
        <x:v>EUR</x:v>
      </x:c>
      <x:c r="F23" s="15" t="str">
        <x:v>No paid acquisition in baseline. Spend does not automatically create installs in this model.</x:v>
      </x:c>
      <x:c r="G23" s="15" t="str">
        <x:v>See Sources</x:v>
      </x:c>
    </x:row>
    <x:row r="24" ht="49" customHeight="1">
      <x:c r="A24" s="15" t="str">
        <x:v>Founder operations hours / month</x:v>
      </x:c>
      <x:c r="B24" s="30" t="n">
        <x:v>8</x:v>
      </x:c>
      <x:c r="C24" s="30" t="n">
        <x:v>20</x:v>
      </x:c>
      <x:c r="D24" s="30" t="n">
        <x:v>60</x:v>
      </x:c>
      <x:c r="E24" s="6" t="str">
        <x:v>hours</x:v>
      </x:c>
      <x:c r="F24" s="15" t="str">
        <x:v>Planning allowance for support, moderation, updates and releases; not billed as cash.</x:v>
      </x:c>
      <x:c r="G24" s="15" t="str">
        <x:v>See Sources</x:v>
      </x:c>
    </x:row>
    <x:row r="25" ht="49" customHeight="1">
      <x:c r="A25" s="15" t="str">
        <x:v>Founder time value / hour</x:v>
      </x:c>
      <x:c r="B25" s="34" t="n">
        <x:v>40</x:v>
      </x:c>
      <x:c r="C25" s="34" t="n">
        <x:v>40</x:v>
      </x:c>
      <x:c r="D25" s="34" t="n">
        <x:v>40</x:v>
      </x:c>
      <x:c r="E25" s="6" t="str">
        <x:v>EUR/hour</x:v>
      </x:c>
      <x:c r="F25" s="15" t="str">
        <x:v>Opportunity-cost assumption; not salary, tax or an external quotation.</x:v>
      </x:c>
      <x:c r="G25" s="15" t="str">
        <x:v>See Sources</x:v>
      </x:c>
    </x:row>
    <x:row r="26" ht="49" customHeight="1">
      <x:c r="A26" s="15" t="str">
        <x:v>Prelaunch development hours</x:v>
      </x:c>
      <x:c r="B26" s="30" t="n">
        <x:v>1000</x:v>
      </x:c>
      <x:c r="C26" s="30" t="n">
        <x:v>1000</x:v>
      </x:c>
      <x:c r="D26" s="30" t="n">
        <x:v>1000</x:v>
      </x:c>
      <x:c r="E26" s="6" t="str">
        <x:v>hours</x:v>
      </x:c>
      <x:c r="F26" s="15" t="str">
        <x:v>Planning anchor; roadmap range with buffer is 750–1275 hours at 30 productive hours/person-week.</x:v>
      </x:c>
      <x:c r="G26" s="15" t="str">
        <x:v>See Sources</x:v>
      </x:c>
    </x:row>
    <x:row r="27" ht="49" customHeight="1">
      <x:c r="A27" s="15" t="str">
        <x:v>Prelaunch cash spending</x:v>
      </x:c>
      <x:c r="B27" s="34" t="n">
        <x:v>0</x:v>
      </x:c>
      <x:c r="C27" s="34" t="n">
        <x:v>500</x:v>
      </x:c>
      <x:c r="D27" s="34" t="n">
        <x:v>3000</x:v>
      </x:c>
      <x:c r="E27" s="6" t="str">
        <x:v>EUR</x:v>
      </x:c>
      <x:c r="F27" s="15" t="str">
        <x:v>Discretionary assets, devices, QA/legal/accounting; store registration budget is separate.</x:v>
      </x:c>
      <x:c r="G27" s="15" t="str">
        <x:v>See Sources</x:v>
      </x:c>
    </x:row>
    <x:row r="28" ht="49" customHeight="1">
      <x:c r="A28" s="15" t="str">
        <x:v>Store registration budget in EUR</x:v>
      </x:c>
      <x:c r="B28" s="34" t="n">
        <x:v>30</x:v>
      </x:c>
      <x:c r="C28" s="34" t="n">
        <x:v>30</x:v>
      </x:c>
      <x:c r="D28" s="34" t="n">
        <x:v>30</x:v>
      </x:c>
      <x:c r="E28" s="6" t="str">
        <x:v>EUR</x:v>
      </x:c>
      <x:c r="F28" s="15" t="str">
        <x:v>Budget allowance, NOT a converted quote. Official Play registration is USD 25 once: https://support.google.com/googleplay/android-developer/answer/6112435?hl=en</x:v>
      </x:c>
      <x:c r="G28" s="15" t="str">
        <x:v>See Sources</x:v>
      </x:c>
    </x:row>
    <x:row r="29" ht="49" customHeight="1">
      <x:c r="A29" s="15" t="str">
        <x:v>Opening cash funding</x:v>
      </x:c>
      <x:c r="B29" s="34" t="n">
        <x:v>0</x:v>
      </x:c>
      <x:c r="C29" s="34" t="n">
        <x:v>0</x:v>
      </x:c>
      <x:c r="D29" s="34" t="n">
        <x:v>0</x:v>
      </x:c>
      <x:c r="E29" s="6" t="str">
        <x:v>EUR</x:v>
      </x:c>
      <x:c r="F29" s="15" t="str">
        <x:v>Zero deliberately exposes funding required. Negative cash means a funding gap, not financed operations.</x:v>
      </x:c>
      <x:c r="G29" s="15" t="str">
        <x:v>See Sources</x:v>
      </x:c>
    </x:row>
    <x:row r="30" ht="49" customHeight="1">
      <x:c r="A30" s="15" t="str">
        <x:v>Purchase recognition lag</x:v>
      </x:c>
      <x:c r="B30" s="30" t="n">
        <x:v>1</x:v>
      </x:c>
      <x:c r="C30" s="30" t="n">
        <x:v>1</x:v>
      </x:c>
      <x:c r="D30" s="30" t="n">
        <x:v>1</x:v>
      </x:c>
      <x:c r="E30" s="6" t="str">
        <x:v>months</x:v>
      </x:c>
      <x:c r="F30" s="15" t="str">
        <x:v>Configurable delay in months from acquisition to the initial purchase basket; default one. Future cohorts outside the 24-month horizon are excluded.</x:v>
      </x:c>
      <x:c r="G30" s="15" t="str">
        <x:v>See Sources</x:v>
      </x:c>
    </x:row>
    <x:row r="31" ht="49" customHeight="1">
      <x:c r="A31" s="15" t="str">
        <x:v>Payout lag</x:v>
      </x:c>
      <x:c r="B31" s="30" t="n">
        <x:v>1</x:v>
      </x:c>
      <x:c r="C31" s="30" t="n">
        <x:v>1</x:v>
      </x:c>
      <x:c r="D31" s="30" t="n">
        <x:v>1</x:v>
      </x:c>
      <x:c r="E31" s="6" t="str">
        <x:v>months</x:v>
      </x:c>
      <x:c r="F31" s="15" t="str">
        <x:v>Configurable collection delay in months after earned revenue; default one. Actual settlement timing varies.</x:v>
      </x:c>
      <x:c r="G31" s="15" t="str">
        <x:v>See Sources</x:v>
      </x:c>
    </x:row>
    <x:row r="32" ht="49" customHeight="1">
      <x:c r="A32" s="15" t="str">
        <x:v>Return activity, acquisition month</x:v>
      </x:c>
      <x:c r="B32" s="32" t="n">
        <x:v>0.85</x:v>
      </x:c>
      <x:c r="C32" s="32" t="n">
        <x:v>0.9</x:v>
      </x:c>
      <x:c r="D32" s="32" t="n">
        <x:v>0.95</x:v>
      </x:c>
      <x:c r="E32" s="6" t="str">
        <x:v>%</x:v>
      </x:c>
      <x:c r="F32" s="15" t="str">
        <x:v>Fraction of acquisition cohort active at least once in month 0; planning input.</x:v>
      </x:c>
      <x:c r="G32" s="15" t="str">
        <x:v>See Sources</x:v>
      </x:c>
    </x:row>
    <x:row r="33" ht="49" customHeight="1">
      <x:c r="A33" s="15" t="str">
        <x:v>Return activity, month 1</x:v>
      </x:c>
      <x:c r="B33" s="32" t="n">
        <x:v>0.12</x:v>
      </x:c>
      <x:c r="C33" s="32" t="n">
        <x:v>0.25</x:v>
      </x:c>
      <x:c r="D33" s="32" t="n">
        <x:v>0.4</x:v>
      </x:c>
      <x:c r="E33" s="6" t="str">
        <x:v>%</x:v>
      </x:c>
      <x:c r="F33" s="15" t="str">
        <x:v>Fraction of original install cohort active in month 1; NOT D30 retention.</x:v>
      </x:c>
      <x:c r="G33" s="15" t="str">
        <x:v>See Sources</x:v>
      </x:c>
    </x:row>
    <x:row r="34" ht="49" customHeight="1">
      <x:c r="A34" s="15" t="str">
        <x:v>Return activity, month 2</x:v>
      </x:c>
      <x:c r="B34" s="32" t="n">
        <x:v>0.08</x:v>
      </x:c>
      <x:c r="C34" s="32" t="n">
        <x:v>0.18</x:v>
      </x:c>
      <x:c r="D34" s="32" t="n">
        <x:v>0.3</x:v>
      </x:c>
      <x:c r="E34" s="6" t="str">
        <x:v>%</x:v>
      </x:c>
      <x:c r="F34" s="15" t="str">
        <x:v>Fraction of original install cohort active in month 2.</x:v>
      </x:c>
      <x:c r="G34" s="15" t="str">
        <x:v>See Sources</x:v>
      </x:c>
    </x:row>
    <x:row r="35" ht="49" customHeight="1">
      <x:c r="A35" s="15" t="str">
        <x:v>Return activity, month 3</x:v>
      </x:c>
      <x:c r="B35" s="32" t="n">
        <x:v>0.05</x:v>
      </x:c>
      <x:c r="C35" s="32" t="n">
        <x:v>0.12</x:v>
      </x:c>
      <x:c r="D35" s="32" t="n">
        <x:v>0.22</x:v>
      </x:c>
      <x:c r="E35" s="6" t="str">
        <x:v>%</x:v>
      </x:c>
      <x:c r="F35" s="15" t="str">
        <x:v>Fraction of original install cohort active in month 3.</x:v>
      </x:c>
      <x:c r="G35" s="15" t="str">
        <x:v>See Sources</x:v>
      </x:c>
    </x:row>
    <x:row r="36" ht="49" customHeight="1">
      <x:c r="A36" s="15" t="str">
        <x:v>Monthly activity decay after month 3</x:v>
      </x:c>
      <x:c r="B36" s="36" t="n">
        <x:v>0.95</x:v>
      </x:c>
      <x:c r="C36" s="36" t="n">
        <x:v>0.96</x:v>
      </x:c>
      <x:c r="D36" s="36" t="n">
        <x:v>0.97</x:v>
      </x:c>
      <x:c r="E36" s="6" t="str">
        <x:v>multiple</x:v>
      </x:c>
      <x:c r="F36" s="15" t="str">
        <x:v>Each subsequent monthly activity fraction = prior fraction times this value.</x:v>
      </x:c>
      <x:c r="G36" s="15" t="str">
        <x:v>See Sources</x:v>
      </x:c>
    </x:row>
  </x:sheetData>
  <x:mergeCells>
    <x:mergeCell ref="A1:G1"/>
    <x:mergeCell ref="A2:G3"/>
  </x:mergeCells>
  <x:dataValidations count="1">
    <x:dataValidation type="whole" operator="between" sqref="B30:D31">
      <x:formula1>0</x:formula1>
      <x:formula2>12</x:formula2>
    </x:dataValidation>
  </x:dataValidations>
  <x:pageMargins left="0.7" right="0.7" top="0.75" bottom="0.75" header="0.3" footer="0.3"/>
  <x:legacyDrawing xmlns:r="http://schemas.openxmlformats.org/officeDocument/2006/relationships" r:id="R9798b0919b7146bf"/>
</x:worksheet>
</file>

<file path=xl/worksheets/sheet3.xml><?xml version="1.0" encoding="utf-8"?>
<x:worksheet xmlns:x="http://schemas.openxmlformats.org/spreadsheetml/2006/main">
  <x:sheetViews>
    <x:sheetView showGridLines="0" workbookViewId="0"/>
  </x:sheetViews>
  <x:sheetFormatPr defaultRowHeight="15"/>
  <x:cols>
    <x:col min="1" max="1" width="39" hidden="0" customWidth="1"/>
    <x:col min="2" max="2" width="16" hidden="0" customWidth="1"/>
    <x:col min="3" max="3" width="16" hidden="0" customWidth="1"/>
    <x:col min="4" max="4" width="16" hidden="0" customWidth="1"/>
  </x:cols>
  <x:sheetData>
    <x:row r="1" ht="22" customHeight="1">
      <x:c r="A1" s="12" t="str">
        <x:v>COHORT MONTHLY ACTIVITY</x:v>
      </x:c>
      <x:c r="B1" s="12" t="str">
        <x:v>Low</x:v>
      </x:c>
      <x:c r="C1" s="12" t="str">
        <x:v>Base</x:v>
      </x:c>
      <x:c r="D1" s="12" t="str">
        <x:v>Strong</x:v>
      </x:c>
    </x:row>
    <x:row r="2" ht="22" customHeight="1">
      <x:c r="A2" s="14" t="str">
        <x:v>Share of an original acquisition cohort active at least once in each month. Planning curve, not daily retention or observed game data.</x:v>
      </x:c>
      <x:c r="B2" s="14"/>
      <x:c r="C2" s="14"/>
      <x:c r="D2" s="14"/>
    </x:row>
    <x:row r="3" ht="22" customHeight="1">
      <x:c r="A3" s="15"/>
      <x:c r="B3" s="15"/>
      <x:c r="C3" s="15"/>
      <x:c r="D3" s="15"/>
    </x:row>
    <x:row r="4" ht="22" customHeight="1">
      <x:c r="A4" s="6"/>
      <x:c r="B4" s="6"/>
      <x:c r="C4" s="6"/>
      <x:c r="D4" s="6"/>
    </x:row>
    <x:row r="5" ht="35" customHeight="1">
      <x:c r="A5" s="20" t="str">
        <x:v>MONTHS SINCE INSTALL</x:v>
      </x:c>
      <x:c r="B5" s="20" t="str">
        <x:v>LOW</x:v>
      </x:c>
      <x:c r="C5" s="20" t="str">
        <x:v>BASE</x:v>
      </x:c>
      <x:c r="D5" s="20" t="str">
        <x:v>STRONG</x:v>
      </x:c>
    </x:row>
    <x:row r="6" ht="22" customHeight="1">
      <x:c r="A6" s="6" t="n">
        <x:v>0</x:v>
      </x:c>
      <x:c r="B6" s="42" t="n">
        <x:f>'Assumptions'!B32</x:f>
        <x:v>0.85</x:v>
      </x:c>
      <x:c r="C6" s="42" t="n">
        <x:f>'Assumptions'!C32</x:f>
        <x:v>0.9</x:v>
      </x:c>
      <x:c r="D6" s="42" t="n">
        <x:f>'Assumptions'!D32</x:f>
        <x:v>0.95</x:v>
      </x:c>
    </x:row>
    <x:row r="7" ht="22" customHeight="1">
      <x:c r="A7" s="6" t="n">
        <x:v>1</x:v>
      </x:c>
      <x:c r="B7" s="42" t="n">
        <x:f>'Assumptions'!B33</x:f>
        <x:v>0.12</x:v>
      </x:c>
      <x:c r="C7" s="42" t="n">
        <x:f>'Assumptions'!C33</x:f>
        <x:v>0.25</x:v>
      </x:c>
      <x:c r="D7" s="42" t="n">
        <x:f>'Assumptions'!D33</x:f>
        <x:v>0.4</x:v>
      </x:c>
    </x:row>
    <x:row r="8" ht="22" customHeight="1">
      <x:c r="A8" s="6" t="n">
        <x:v>2</x:v>
      </x:c>
      <x:c r="B8" s="42" t="n">
        <x:f>'Assumptions'!B34</x:f>
        <x:v>0.08</x:v>
      </x:c>
      <x:c r="C8" s="42" t="n">
        <x:f>'Assumptions'!C34</x:f>
        <x:v>0.18</x:v>
      </x:c>
      <x:c r="D8" s="42" t="n">
        <x:f>'Assumptions'!D34</x:f>
        <x:v>0.3</x:v>
      </x:c>
    </x:row>
    <x:row r="9" ht="22" customHeight="1">
      <x:c r="A9" s="6" t="n">
        <x:v>3</x:v>
      </x:c>
      <x:c r="B9" s="42" t="n">
        <x:f>'Assumptions'!B35</x:f>
        <x:v>0.05</x:v>
      </x:c>
      <x:c r="C9" s="42" t="n">
        <x:f>'Assumptions'!C35</x:f>
        <x:v>0.12</x:v>
      </x:c>
      <x:c r="D9" s="42" t="n">
        <x:f>'Assumptions'!D35</x:f>
        <x:v>0.22</x:v>
      </x:c>
    </x:row>
    <x:row r="10" ht="22" customHeight="1">
      <x:c r="A10" s="6" t="n">
        <x:v>4</x:v>
      </x:c>
      <x:c r="B10" s="42" t="n">
        <x:f>B9*'Assumptions'!B36</x:f>
        <x:v>0.0475</x:v>
      </x:c>
      <x:c r="C10" s="42" t="n">
        <x:f>C9*'Assumptions'!C36</x:f>
        <x:v>0.1152</x:v>
      </x:c>
      <x:c r="D10" s="42" t="n">
        <x:f>D9*'Assumptions'!D36</x:f>
        <x:v>0.2134</x:v>
      </x:c>
    </x:row>
    <x:row r="11" ht="22" customHeight="1">
      <x:c r="A11" s="6" t="n">
        <x:v>5</x:v>
      </x:c>
      <x:c r="B11" s="42" t="n">
        <x:f>B10*'Assumptions'!B36</x:f>
        <x:v>0.045125</x:v>
      </x:c>
      <x:c r="C11" s="42" t="n">
        <x:f>C10*'Assumptions'!C36</x:f>
        <x:v>0.110592</x:v>
      </x:c>
      <x:c r="D11" s="42" t="n">
        <x:f>D10*'Assumptions'!D36</x:f>
        <x:v>0.206998</x:v>
      </x:c>
    </x:row>
    <x:row r="12" ht="22" customHeight="1">
      <x:c r="A12" s="6" t="n">
        <x:v>6</x:v>
      </x:c>
      <x:c r="B12" s="42" t="n">
        <x:f>B11*'Assumptions'!B36</x:f>
        <x:v>0.04286875</x:v>
      </x:c>
      <x:c r="C12" s="42" t="n">
        <x:f>C11*'Assumptions'!C36</x:f>
        <x:v>0.10616832</x:v>
      </x:c>
      <x:c r="D12" s="42" t="n">
        <x:f>D11*'Assumptions'!D36</x:f>
        <x:v>0.20078806</x:v>
      </x:c>
    </x:row>
    <x:row r="13" ht="22" customHeight="1">
      <x:c r="A13" s="6" t="n">
        <x:v>7</x:v>
      </x:c>
      <x:c r="B13" s="42" t="n">
        <x:f>B12*'Assumptions'!B36</x:f>
        <x:v>0.04072531249999999</x:v>
      </x:c>
      <x:c r="C13" s="42" t="n">
        <x:f>C12*'Assumptions'!C36</x:f>
        <x:v>0.1019215872</x:v>
      </x:c>
      <x:c r="D13" s="42" t="n">
        <x:f>D12*'Assumptions'!D36</x:f>
        <x:v>0.19476441819999998</x:v>
      </x:c>
    </x:row>
    <x:row r="14" ht="22" customHeight="1">
      <x:c r="A14" s="6" t="n">
        <x:v>8</x:v>
      </x:c>
      <x:c r="B14" s="42" t="n">
        <x:f>B13*'Assumptions'!B36</x:f>
        <x:v>0.038689046874999994</x:v>
      </x:c>
      <x:c r="C14" s="42" t="n">
        <x:f>C13*'Assumptions'!C36</x:f>
        <x:v>0.097844723712</x:v>
      </x:c>
      <x:c r="D14" s="42" t="n">
        <x:f>D13*'Assumptions'!D36</x:f>
        <x:v>0.18892148565399997</x:v>
      </x:c>
    </x:row>
    <x:row r="15" ht="22" customHeight="1">
      <x:c r="A15" s="6" t="n">
        <x:v>9</x:v>
      </x:c>
      <x:c r="B15" s="42" t="n">
        <x:f>B14*'Assumptions'!B36</x:f>
        <x:v>0.03675459453124999</x:v>
      </x:c>
      <x:c r="C15" s="42" t="n">
        <x:f>C14*'Assumptions'!C36</x:f>
        <x:v>0.09393093476351999</x:v>
      </x:c>
      <x:c r="D15" s="42" t="n">
        <x:f>D14*'Assumptions'!D36</x:f>
        <x:v>0.18325384108437995</x:v>
      </x:c>
    </x:row>
    <x:row r="16" ht="22" customHeight="1">
      <x:c r="A16" s="6" t="n">
        <x:v>10</x:v>
      </x:c>
      <x:c r="B16" s="42" t="n">
        <x:f>B15*'Assumptions'!B36</x:f>
        <x:v>0.03491686480468749</x:v>
      </x:c>
      <x:c r="C16" s="42" t="n">
        <x:f>C15*'Assumptions'!C36</x:f>
        <x:v>0.09017369737297919</x:v>
      </x:c>
      <x:c r="D16" s="42" t="n">
        <x:f>D15*'Assumptions'!D36</x:f>
        <x:v>0.17775622585184855</x:v>
      </x:c>
    </x:row>
    <x:row r="17" ht="22" customHeight="1">
      <x:c r="A17" s="6" t="n">
        <x:v>11</x:v>
      </x:c>
      <x:c r="B17" s="42" t="n">
        <x:f>B16*'Assumptions'!B36</x:f>
        <x:v>0.03317102156445311</x:v>
      </x:c>
      <x:c r="C17" s="42" t="n">
        <x:f>C16*'Assumptions'!C36</x:f>
        <x:v>0.08656674947806002</x:v>
      </x:c>
      <x:c r="D17" s="42" t="n">
        <x:f>D16*'Assumptions'!D36</x:f>
        <x:v>0.1724235390762931</x:v>
      </x:c>
    </x:row>
    <x:row r="18" ht="22" customHeight="1">
      <x:c r="A18" s="6" t="n">
        <x:v>12</x:v>
      </x:c>
      <x:c r="B18" s="42" t="n">
        <x:f>B17*'Assumptions'!B36</x:f>
        <x:v>0.03151247048623045</x:v>
      </x:c>
      <x:c r="C18" s="42" t="n">
        <x:f>C17*'Assumptions'!C36</x:f>
        <x:v>0.08310407949893761</x:v>
      </x:c>
      <x:c r="D18" s="42" t="n">
        <x:f>D17*'Assumptions'!D36</x:f>
        <x:v>0.1672508329040043</x:v>
      </x:c>
    </x:row>
    <x:row r="19" ht="22" customHeight="1">
      <x:c r="A19" s="6" t="n">
        <x:v>13</x:v>
      </x:c>
      <x:c r="B19" s="42" t="n">
        <x:f>B18*'Assumptions'!B36</x:f>
        <x:v>0.02993684696191893</x:v>
      </x:c>
      <x:c r="C19" s="42" t="n">
        <x:f>C18*'Assumptions'!C36</x:f>
        <x:v>0.0797799163189801</x:v>
      </x:c>
      <x:c r="D19" s="42" t="n">
        <x:f>D18*'Assumptions'!D36</x:f>
        <x:v>0.16223330791688417</x:v>
      </x:c>
    </x:row>
    <x:row r="20" ht="22" customHeight="1">
      <x:c r="A20" s="6" t="n">
        <x:v>14</x:v>
      </x:c>
      <x:c r="B20" s="42" t="n">
        <x:f>B19*'Assumptions'!B36</x:f>
        <x:v>0.028440004613822983</x:v>
      </x:c>
      <x:c r="C20" s="42" t="n">
        <x:f>C19*'Assumptions'!C36</x:f>
        <x:v>0.0765887196662209</x:v>
      </x:c>
      <x:c r="D20" s="42" t="n">
        <x:f>D19*'Assumptions'!D36</x:f>
        <x:v>0.15736630867937765</x:v>
      </x:c>
    </x:row>
    <x:row r="21" ht="22" customHeight="1">
      <x:c r="A21" s="6" t="n">
        <x:v>15</x:v>
      </x:c>
      <x:c r="B21" s="42" t="n">
        <x:f>B20*'Assumptions'!B36</x:f>
        <x:v>0.027018004383131834</x:v>
      </x:c>
      <x:c r="C21" s="42" t="n">
        <x:f>C20*'Assumptions'!C36</x:f>
        <x:v>0.07352517087957205</x:v>
      </x:c>
      <x:c r="D21" s="42" t="n">
        <x:f>D20*'Assumptions'!D36</x:f>
        <x:v>0.1526453194189963</x:v>
      </x:c>
    </x:row>
    <x:row r="22" ht="22" customHeight="1">
      <x:c r="A22" s="6" t="n">
        <x:v>16</x:v>
      </x:c>
      <x:c r="B22" s="42" t="n">
        <x:f>B21*'Assumptions'!B36</x:f>
        <x:v>0.02566710416397524</x:v>
      </x:c>
      <x:c r="C22" s="42" t="n">
        <x:f>C21*'Assumptions'!C36</x:f>
        <x:v>0.07058416404438916</x:v>
      </x:c>
      <x:c r="D22" s="42" t="n">
        <x:f>D21*'Assumptions'!D36</x:f>
        <x:v>0.14806595983642643</x:v>
      </x:c>
    </x:row>
    <x:row r="23" ht="22" customHeight="1">
      <x:c r="A23" s="6" t="n">
        <x:v>17</x:v>
      </x:c>
      <x:c r="B23" s="42" t="n">
        <x:f>B22*'Assumptions'!B36</x:f>
        <x:v>0.024383748955776476</x:v>
      </x:c>
      <x:c r="C23" s="42" t="n">
        <x:f>C22*'Assumptions'!C36</x:f>
        <x:v>0.0677607974826136</x:v>
      </x:c>
      <x:c r="D23" s="42" t="n">
        <x:f>D22*'Assumptions'!D36</x:f>
        <x:v>0.14362398104133361</x:v>
      </x:c>
    </x:row>
    <x:row r="24" ht="22" customHeight="1">
      <x:c r="A24" s="6" t="n">
        <x:v>18</x:v>
      </x:c>
      <x:c r="B24" s="42" t="n">
        <x:f>B23*'Assumptions'!B36</x:f>
        <x:v>0.023164561507987652</x:v>
      </x:c>
      <x:c r="C24" s="42" t="n">
        <x:f>C23*'Assumptions'!C36</x:f>
        <x:v>0.06505036558330905</x:v>
      </x:c>
      <x:c r="D24" s="42" t="n">
        <x:f>D23*'Assumptions'!D36</x:f>
        <x:v>0.1393152616100936</x:v>
      </x:c>
    </x:row>
    <x:row r="25" ht="22" customHeight="1">
      <x:c r="A25" s="6" t="n">
        <x:v>19</x:v>
      </x:c>
      <x:c r="B25" s="42" t="n">
        <x:f>B24*'Assumptions'!B36</x:f>
        <x:v>0.02200633343258827</x:v>
      </x:c>
      <x:c r="C25" s="42" t="n">
        <x:f>C24*'Assumptions'!C36</x:f>
        <x:v>0.06244835095997669</x:v>
      </x:c>
      <x:c r="D25" s="42" t="n">
        <x:f>D24*'Assumptions'!D36</x:f>
        <x:v>0.1351358037617908</x:v>
      </x:c>
    </x:row>
    <x:row r="26" ht="22" customHeight="1">
      <x:c r="A26" s="6" t="n">
        <x:v>20</x:v>
      </x:c>
      <x:c r="B26" s="42" t="n">
        <x:f>B25*'Assumptions'!B36</x:f>
        <x:v>0.020906016760958854</x:v>
      </x:c>
      <x:c r="C26" s="42" t="n">
        <x:f>C25*'Assumptions'!C36</x:f>
        <x:v>0.05995041692157762</x:v>
      </x:c>
      <x:c r="D26" s="42" t="n">
        <x:f>D25*'Assumptions'!D36</x:f>
        <x:v>0.13108172964893708</x:v>
      </x:c>
    </x:row>
    <x:row r="27" ht="22" customHeight="1">
      <x:c r="A27" s="6" t="n">
        <x:v>21</x:v>
      </x:c>
      <x:c r="B27" s="42" t="n">
        <x:f>B26*'Assumptions'!B36</x:f>
        <x:v>0.019860715922910912</x:v>
      </x:c>
      <x:c r="C27" s="42" t="n">
        <x:f>C26*'Assumptions'!C36</x:f>
        <x:v>0.05755240024471451</x:v>
      </x:c>
      <x:c r="D27" s="42" t="n">
        <x:f>D26*'Assumptions'!D36</x:f>
        <x:v>0.12714927775946896</x:v>
      </x:c>
    </x:row>
    <x:row r="28" ht="22" customHeight="1">
      <x:c r="A28" s="6" t="n">
        <x:v>22</x:v>
      </x:c>
      <x:c r="B28" s="42" t="n">
        <x:f>B27*'Assumptions'!B36</x:f>
        <x:v>0.018867680126765367</x:v>
      </x:c>
      <x:c r="C28" s="42" t="n">
        <x:f>C27*'Assumptions'!C36</x:f>
        <x:v>0.055250304234925926</x:v>
      </x:c>
      <x:c r="D28" s="42" t="n">
        <x:f>D27*'Assumptions'!D36</x:f>
        <x:v>0.12333479942668489</x:v>
      </x:c>
    </x:row>
    <x:row r="29" ht="22" customHeight="1">
      <x:c r="A29" s="6" t="n">
        <x:v>23</x:v>
      </x:c>
      <x:c r="B29" s="42" t="n">
        <x:f>B28*'Assumptions'!B36</x:f>
        <x:v>0.017924296120427098</x:v>
      </x:c>
      <x:c r="C29" s="42" t="n">
        <x:f>C28*'Assumptions'!C36</x:f>
        <x:v>0.053040292065528884</x:v>
      </x:c>
      <x:c r="D29" s="42" t="n">
        <x:f>D28*'Assumptions'!D36</x:f>
        <x:v>0.11963475544388434</x:v>
      </x:c>
    </x:row>
  </x:sheetData>
  <x:mergeCells>
    <x:mergeCell ref="A2:D3"/>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40" hidden="0" customWidth="1"/>
    <x:col min="2" max="2" width="17" hidden="0" customWidth="1"/>
    <x:col min="3" max="3" width="17" hidden="0" customWidth="1"/>
    <x:col min="4" max="4" width="17" hidden="0" customWidth="1"/>
    <x:col min="5" max="5" width="17" hidden="0" customWidth="1"/>
    <x:col min="6" max="6" width="17" hidden="0" customWidth="1"/>
    <x:col min="7" max="7" width="17" hidden="0" customWidth="1"/>
    <x:col min="8" max="8" width="17" hidden="0" customWidth="1"/>
    <x:col min="9" max="9" width="17" hidden="0" customWidth="1"/>
    <x:col min="10" max="10" width="17" hidden="0" customWidth="1"/>
    <x:col min="11" max="11" width="17" hidden="0" customWidth="1"/>
    <x:col min="12" max="12" width="17" hidden="0" customWidth="1"/>
    <x:col min="13" max="13" width="17" hidden="0" customWidth="1"/>
    <x:col min="14" max="14" width="17" hidden="0" customWidth="1"/>
    <x:col min="15" max="15" width="17" hidden="0" customWidth="1"/>
    <x:col min="16" max="16" width="17" hidden="0" customWidth="1"/>
    <x:col min="17" max="17" width="17" hidden="0" customWidth="1"/>
    <x:col min="18" max="18" width="17" hidden="0" customWidth="1"/>
    <x:col min="19" max="19" width="17" hidden="0" customWidth="1"/>
    <x:col min="20" max="20" width="17" hidden="0" customWidth="1"/>
    <x:col min="21" max="21" width="17" hidden="0" customWidth="1"/>
    <x:col min="22" max="22" width="17" hidden="0" customWidth="1"/>
    <x:col min="23" max="23" width="17" hidden="0" customWidth="1"/>
  </x:cols>
  <x:sheetData>
    <x:row r="1" ht="22" customHeight="1">
      <x:c r="A1" s="12" t="str">
        <x:v>LOW CASE — 24-month launch cohort model | EUR</x:v>
      </x:c>
      <x:c r="B1" s="12"/>
      <x:c r="C1" s="12"/>
      <x:c r="D1" s="12"/>
      <x:c r="E1" s="6"/>
      <x:c r="F1" s="6"/>
      <x:c r="G1" s="6"/>
      <x:c r="H1" s="6"/>
      <x:c r="I1" s="6"/>
      <x:c r="J1" s="6"/>
      <x:c r="K1" s="6"/>
      <x:c r="L1" s="6"/>
      <x:c r="M1" s="6"/>
      <x:c r="N1" s="6"/>
      <x:c r="O1" s="6"/>
      <x:c r="P1" s="6"/>
      <x:c r="Q1" s="6"/>
      <x:c r="R1" s="6"/>
      <x:c r="S1" s="6"/>
      <x:c r="T1" s="6"/>
      <x:c r="U1" s="6"/>
      <x:c r="V1" s="6"/>
      <x:c r="W1" s="6"/>
    </x:row>
    <x:row r="2" ht="22" customHeight="1">
      <x:c r="A2" s="14" t="str">
        <x:v>Month 1 = launch. Purchase and collection lags use Assumptions (default: one month each). Expected order counts may be fractional. No recurring purchases assumed. Cloud and moderation costs continue when new installs slow.</x:v>
      </x:c>
      <x:c r="B2" s="14"/>
      <x:c r="C2" s="14"/>
      <x:c r="D2" s="14"/>
      <x:c r="E2" s="15"/>
      <x:c r="F2" s="15"/>
      <x:c r="G2" s="15"/>
      <x:c r="H2" s="15"/>
      <x:c r="I2" s="15"/>
      <x:c r="J2" s="15"/>
      <x:c r="K2" s="15"/>
      <x:c r="L2" s="15"/>
      <x:c r="M2" s="15"/>
      <x:c r="N2" s="15"/>
      <x:c r="O2" s="15"/>
      <x:c r="P2" s="15"/>
      <x:c r="Q2" s="15"/>
      <x:c r="R2" s="15"/>
      <x:c r="S2" s="15"/>
      <x:c r="T2" s="15"/>
      <x:c r="U2" s="15"/>
      <x:c r="V2" s="15"/>
      <x:c r="W2" s="15"/>
    </x:row>
    <x:row r="3" ht="22" customHeight="1">
      <x:c r="A3" s="15"/>
      <x:c r="B3" s="15"/>
      <x:c r="C3" s="15"/>
      <x:c r="D3" s="15"/>
      <x:c r="E3" s="15"/>
      <x:c r="F3" s="15"/>
      <x:c r="G3" s="15"/>
      <x:c r="H3" s="15"/>
      <x:c r="I3" s="15"/>
      <x:c r="J3" s="15"/>
      <x:c r="K3" s="15"/>
      <x:c r="L3" s="15"/>
      <x:c r="M3" s="15"/>
      <x:c r="N3" s="15"/>
      <x:c r="O3" s="15"/>
      <x:c r="P3" s="15"/>
      <x:c r="Q3" s="15"/>
      <x:c r="R3" s="15"/>
      <x:c r="S3" s="15"/>
      <x:c r="T3" s="15"/>
      <x:c r="U3" s="15"/>
      <x:c r="V3" s="15"/>
      <x:c r="W3" s="15"/>
    </x:row>
    <x:row r="4" ht="22" customHeight="1">
      <x:c r="A4" s="6"/>
      <x:c r="B4" s="6"/>
      <x:c r="C4" s="6"/>
      <x:c r="D4" s="6"/>
      <x:c r="E4" s="6"/>
      <x:c r="F4" s="6"/>
      <x:c r="G4" s="6"/>
      <x:c r="H4" s="6"/>
      <x:c r="I4" s="6"/>
      <x:c r="J4" s="6"/>
      <x:c r="K4" s="6"/>
      <x:c r="L4" s="6"/>
      <x:c r="M4" s="6"/>
      <x:c r="N4" s="6"/>
      <x:c r="O4" s="6"/>
      <x:c r="P4" s="6"/>
      <x:c r="Q4" s="6"/>
      <x:c r="R4" s="6"/>
      <x:c r="S4" s="6"/>
      <x:c r="T4" s="6"/>
      <x:c r="U4" s="6"/>
      <x:c r="V4" s="6"/>
      <x:c r="W4" s="6"/>
    </x:row>
    <x:row r="5" ht="35" customHeight="1">
      <x:c r="A5" s="20" t="str">
        <x:v>MONTH</x:v>
      </x:c>
      <x:c r="B5" s="20" t="str">
        <x:v>NEW INSTALLS</x:v>
      </x:c>
      <x:c r="C5" s="20" t="str">
        <x:v>CUM. INSTALLS</x:v>
      </x:c>
      <x:c r="D5" s="20" t="str">
        <x:v>MAU</x:v>
      </x:c>
      <x:c r="E5" s="20" t="str">
        <x:v>DAU</x:v>
      </x:c>
      <x:c r="F5" s="20" t="str">
        <x:v>CREATOR ORDERS</x:v>
      </x:c>
      <x:c r="G5" s="20" t="str">
        <x:v>COSMETIC BUYERS</x:v>
      </x:c>
      <x:c r="H5" s="20" t="str">
        <x:v>GROSS IAP</x:v>
      </x:c>
      <x:c r="I5" s="20" t="str">
        <x:v>SALES TAX</x:v>
      </x:c>
      <x:c r="J5" s="20" t="str">
        <x:v>REFUNDS</x:v>
      </x:c>
      <x:c r="K5" s="20" t="str">
        <x:v>PLAY FEES</x:v>
      </x:c>
      <x:c r="L5" s="20" t="str">
        <x:v>NET IAP</x:v>
      </x:c>
      <x:c r="M5" s="20" t="str">
        <x:v>NET ADS</x:v>
      </x:c>
      <x:c r="N5" s="20" t="str">
        <x:v>NET REVENUE</x:v>
      </x:c>
      <x:c r="O5" s="20" t="str">
        <x:v>CLOUD / TOOLS</x:v>
      </x:c>
      <x:c r="P5" s="20" t="str">
        <x:v>CASH SUPPORT</x:v>
      </x:c>
      <x:c r="Q5" s="20" t="str">
        <x:v>MARKETING</x:v>
      </x:c>
      <x:c r="R5" s="20" t="str">
        <x:v>CASH OPEX</x:v>
      </x:c>
      <x:c r="S5" s="20" t="str">
        <x:v>OP. CONTRIBUTION</x:v>
      </x:c>
      <x:c r="T5" s="20" t="str">
        <x:v>CASH RECEIPTS</x:v>
      </x:c>
      <x:c r="U5" s="20" t="str">
        <x:v>CUM. CASH</x:v>
      </x:c>
      <x:c r="V5" s="20" t="str">
        <x:v>FOUNDER OPS VALUE</x:v>
      </x:c>
      <x:c r="W5" s="20" t="str">
        <x:v>CUM. ECONOMIC RESULT</x:v>
      </x:c>
    </x:row>
    <x:row r="6" ht="22" customHeight="1">
      <x:c r="A6" s="46" t="n">
        <x:f>1</x:f>
        <x:v>1</x:v>
      </x:c>
      <x:c r="B6" s="6" t="n">
        <x:f>'Assumptions'!$B$6</x:f>
        <x:v>250</x:v>
      </x:c>
      <x:c r="C6" s="6" t="n">
        <x:f>SUM(B$6:B6)</x:f>
        <x:v>250</x:v>
      </x:c>
      <x:c r="D6" s="6" t="n">
        <x:f>B6*'Retention'!B6</x:f>
        <x:v>212.5</x:v>
      </x:c>
      <x:c r="E6" s="6" t="n">
        <x:f>D6*'Assumptions'!$B$15</x:f>
        <x:v>31.875</x:v>
      </x:c>
      <x:c r="F6" s="6" t="n">
        <x:f>IF(A6&gt;'Assumptions'!$B$30,INDEX(B$6:B$29,A6-'Assumptions'!$B$30),0)*'Assumptions'!$B$8</x:f>
        <x:v>0</x:v>
      </x:c>
      <x:c r="G6" s="6" t="n">
        <x:f>IF(A6&gt;'Assumptions'!$B$30,INDEX(B$6:B$29,A6-'Assumptions'!$B$30),0)*'Assumptions'!$B$10</x:f>
        <x:v>0</x:v>
      </x:c>
      <x:c r="H6" s="6" t="n">
        <x:f>F6*'Assumptions'!$B$9+G6*'Assumptions'!$B$11</x:f>
        <x:v>0</x:v>
      </x:c>
      <x:c r="I6" s="6" t="n">
        <x:f>H6-H6/(1+'Assumptions'!$B$12)</x:f>
        <x:v>0</x:v>
      </x:c>
      <x:c r="J6" s="6" t="n">
        <x:f>(H6-I6)*'Assumptions'!$B$13</x:f>
        <x:v>0</x:v>
      </x:c>
      <x:c r="K6" s="6" t="n">
        <x:f>(H6-I6-J6)*'Assumptions'!$B$14</x:f>
        <x:v>0</x:v>
      </x:c>
      <x:c r="L6" s="6" t="n">
        <x:f>H6-SUM(I6:K6)</x:f>
        <x:v>0</x:v>
      </x:c>
      <x:c r="M6" s="6" t="n">
        <x:f>E6*'Assumptions'!$B$19*'Assumptions'!$B$17*'Assumptions'!$B$18/1000*'Assumptions'!$B$16</x:f>
        <x:v>0</x:v>
      </x:c>
      <x:c r="N6" s="6" t="n">
        <x:f>SUM(L6:M6)</x:f>
        <x:v>0</x:v>
      </x:c>
      <x:c r="O6" s="6" t="n">
        <x:f>'Assumptions'!$B$20+D6/1000*'Assumptions'!$B$21</x:f>
        <x:v>40.425</x:v>
      </x:c>
      <x:c r="P6" s="6" t="n">
        <x:f>'Assumptions'!$B$22</x:f>
        <x:v>10</x:v>
      </x:c>
      <x:c r="Q6" s="6" t="n">
        <x:f>'Assumptions'!$B$23</x:f>
        <x:v>0</x:v>
      </x:c>
      <x:c r="R6" s="6" t="n">
        <x:f>SUM(O6:Q6)</x:f>
        <x:v>50.425</x:v>
      </x:c>
      <x:c r="S6" s="6" t="n">
        <x:f>N6-R6</x:f>
        <x:v>-50.425</x:v>
      </x:c>
      <x:c r="T6" s="6" t="n">
        <x:f>IF(A6&gt;'Assumptions'!$B$31,INDEX(N$6:N$29,A6-'Assumptions'!$B$31),0)</x:f>
        <x:v>0</x:v>
      </x:c>
      <x:c r="U6" s="6" t="n">
        <x:f>'Assumptions'!$B$29-'Assumptions'!$B$27-'Assumptions'!$B$28+SUM(T$6:T6)-SUM(R$6:R6)</x:f>
        <x:v>-80.425</x:v>
      </x:c>
      <x:c r="V6" s="6" t="n">
        <x:f>'Assumptions'!$B$24*'Assumptions'!$B$25</x:f>
        <x:v>320</x:v>
      </x:c>
      <x:c r="W6" s="6" t="n">
        <x:f>SUM(S$6:S6)-SUM(V$6:V6)-'Assumptions'!$B$27-'Assumptions'!$B$28-'Assumptions'!$B$26*'Assumptions'!$B$25</x:f>
        <x:v>-40400.425</x:v>
      </x:c>
    </x:row>
    <x:row r="7" ht="22" customHeight="1">
      <x:c r="A7" s="46" t="n">
        <x:f>2</x:f>
        <x:v>2</x:v>
      </x:c>
      <x:c r="B7" s="6" t="n">
        <x:f>B6*(1+'Assumptions'!$B$7)</x:f>
        <x:v>255</x:v>
      </x:c>
      <x:c r="C7" s="6" t="n">
        <x:f>SUM(B$6:B7)</x:f>
        <x:v>505</x:v>
      </x:c>
      <x:c r="D7" s="6" t="n">
        <x:f>B7*'Retention'!B6+B6*'Retention'!B7</x:f>
        <x:v>246.75</x:v>
      </x:c>
      <x:c r="E7" s="6" t="n">
        <x:f>D7*'Assumptions'!$B$15</x:f>
        <x:v>37.012499999999996</x:v>
      </x:c>
      <x:c r="F7" s="6" t="n">
        <x:f>IF(A7&gt;'Assumptions'!$B$30,INDEX(B$6:B$29,A7-'Assumptions'!$B$30),0)*'Assumptions'!$B$8</x:f>
        <x:v>1</x:v>
      </x:c>
      <x:c r="G7" s="6" t="n">
        <x:f>IF(A7&gt;'Assumptions'!$B$30,INDEX(B$6:B$29,A7-'Assumptions'!$B$30),0)*'Assumptions'!$B$10</x:f>
        <x:v>1.25</x:v>
      </x:c>
      <x:c r="H7" s="6" t="n">
        <x:f>F7*'Assumptions'!$B$9+G7*'Assumptions'!$B$11</x:f>
        <x:v>11.977500000000001</x:v>
      </x:c>
      <x:c r="I7" s="6" t="n">
        <x:f>H7-H7/(1+'Assumptions'!$B$12)</x:f>
        <x:v>1.9962499999999999</x:v>
      </x:c>
      <x:c r="J7" s="6" t="n">
        <x:f>(H7-I7)*'Assumptions'!$B$13</x:f>
        <x:v>0.2994375</x:v>
      </x:c>
      <x:c r="K7" s="6" t="n">
        <x:f>(H7-I7-J7)*'Assumptions'!$B$14</x:f>
        <x:v>1.452271875</x:v>
      </x:c>
      <x:c r="L7" s="6" t="n">
        <x:f>H7-SUM(I7:K7)</x:f>
        <x:v>8.229540625000002</x:v>
      </x:c>
      <x:c r="M7" s="6" t="n">
        <x:f>E7*'Assumptions'!$B$19*'Assumptions'!$B$17*'Assumptions'!$B$18/1000*'Assumptions'!$B$16</x:f>
        <x:v>0</x:v>
      </x:c>
      <x:c r="N7" s="6" t="n">
        <x:f>SUM(L7:M7)</x:f>
        <x:v>8.229540625000002</x:v>
      </x:c>
      <x:c r="O7" s="6" t="n">
        <x:f>'Assumptions'!$B$20+D7/1000*'Assumptions'!$B$21</x:f>
        <x:v>40.4935</x:v>
      </x:c>
      <x:c r="P7" s="6" t="n">
        <x:f>'Assumptions'!$B$22</x:f>
        <x:v>10</x:v>
      </x:c>
      <x:c r="Q7" s="6" t="n">
        <x:f>'Assumptions'!$B$23</x:f>
        <x:v>0</x:v>
      </x:c>
      <x:c r="R7" s="6" t="n">
        <x:f>SUM(O7:Q7)</x:f>
        <x:v>50.4935</x:v>
      </x:c>
      <x:c r="S7" s="6" t="n">
        <x:f>N7-R7</x:f>
        <x:v>-42.263959375</x:v>
      </x:c>
      <x:c r="T7" s="6" t="n">
        <x:f>IF(A7&gt;'Assumptions'!$B$31,INDEX(N$6:N$29,A7-'Assumptions'!$B$31),0)</x:f>
        <x:v>0</x:v>
      </x:c>
      <x:c r="U7" s="6" t="n">
        <x:f>'Assumptions'!$B$29-'Assumptions'!$B$27-'Assumptions'!$B$28+SUM(T$6:T7)-SUM(R$6:R7)</x:f>
        <x:v>-130.9185</x:v>
      </x:c>
      <x:c r="V7" s="6" t="n">
        <x:f>'Assumptions'!$B$24*'Assumptions'!$B$25</x:f>
        <x:v>320</x:v>
      </x:c>
      <x:c r="W7" s="6" t="n">
        <x:f>SUM(S$6:S7)-SUM(V$6:V7)-'Assumptions'!$B$27-'Assumptions'!$B$28-'Assumptions'!$B$26*'Assumptions'!$B$25</x:f>
        <x:v>-40762.688959375</x:v>
      </x:c>
    </x:row>
    <x:row r="8" ht="22" customHeight="1">
      <x:c r="A8" s="46" t="n">
        <x:f>3</x:f>
        <x:v>3</x:v>
      </x:c>
      <x:c r="B8" s="6" t="n">
        <x:f>B7*(1+'Assumptions'!$B$7)</x:f>
        <x:v>260.1</x:v>
      </x:c>
      <x:c r="C8" s="6" t="n">
        <x:f>SUM(B$6:B8)</x:f>
        <x:v>765.1</x:v>
      </x:c>
      <x:c r="D8" s="6" t="n">
        <x:f>B8*'Retention'!B6+B7*'Retention'!B7+B6*'Retention'!B8</x:f>
        <x:v>271.685</x:v>
      </x:c>
      <x:c r="E8" s="6" t="n">
        <x:f>D8*'Assumptions'!$B$15</x:f>
        <x:v>40.75275</x:v>
      </x:c>
      <x:c r="F8" s="6" t="n">
        <x:f>IF(A8&gt;'Assumptions'!$B$30,INDEX(B$6:B$29,A8-'Assumptions'!$B$30),0)*'Assumptions'!$B$8</x:f>
        <x:v>1.02</x:v>
      </x:c>
      <x:c r="G8" s="6" t="n">
        <x:f>IF(A8&gt;'Assumptions'!$B$30,INDEX(B$6:B$29,A8-'Assumptions'!$B$30),0)*'Assumptions'!$B$10</x:f>
        <x:v>1.2750000000000001</x:v>
      </x:c>
      <x:c r="H8" s="6" t="n">
        <x:f>F8*'Assumptions'!$B$9+G8*'Assumptions'!$B$11</x:f>
        <x:v>12.21705</x:v>
      </x:c>
      <x:c r="I8" s="6" t="n">
        <x:f>H8-H8/(1+'Assumptions'!$B$12)</x:f>
        <x:v>2.036175</x:v>
      </x:c>
      <x:c r="J8" s="6" t="n">
        <x:f>(H8-I8)*'Assumptions'!$B$13</x:f>
        <x:v>0.30542625</x:v>
      </x:c>
      <x:c r="K8" s="6" t="n">
        <x:f>(H8-I8-J8)*'Assumptions'!$B$14</x:f>
        <x:v>1.4813173125</x:v>
      </x:c>
      <x:c r="L8" s="6" t="n">
        <x:f>H8-SUM(I8:K8)</x:f>
        <x:v>8.3941314375</x:v>
      </x:c>
      <x:c r="M8" s="6" t="n">
        <x:f>E8*'Assumptions'!$B$19*'Assumptions'!$B$17*'Assumptions'!$B$18/1000*'Assumptions'!$B$16</x:f>
        <x:v>0</x:v>
      </x:c>
      <x:c r="N8" s="6" t="n">
        <x:f>SUM(L8:M8)</x:f>
        <x:v>8.3941314375</x:v>
      </x:c>
      <x:c r="O8" s="6" t="n">
        <x:f>'Assumptions'!$B$20+D8/1000*'Assumptions'!$B$21</x:f>
        <x:v>40.54337</x:v>
      </x:c>
      <x:c r="P8" s="6" t="n">
        <x:f>'Assumptions'!$B$22</x:f>
        <x:v>10</x:v>
      </x:c>
      <x:c r="Q8" s="6" t="n">
        <x:f>'Assumptions'!$B$23</x:f>
        <x:v>0</x:v>
      </x:c>
      <x:c r="R8" s="6" t="n">
        <x:f>SUM(O8:Q8)</x:f>
        <x:v>50.54337</x:v>
      </x:c>
      <x:c r="S8" s="6" t="n">
        <x:f>N8-R8</x:f>
        <x:v>-42.1492385625</x:v>
      </x:c>
      <x:c r="T8" s="6" t="n">
        <x:f>IF(A8&gt;'Assumptions'!$B$31,INDEX(N$6:N$29,A8-'Assumptions'!$B$31),0)</x:f>
        <x:v>8.229540625000002</x:v>
      </x:c>
      <x:c r="U8" s="6" t="n">
        <x:f>'Assumptions'!$B$29-'Assumptions'!$B$27-'Assumptions'!$B$28+SUM(T$6:T8)-SUM(R$6:R8)</x:f>
        <x:v>-173.232329375</x:v>
      </x:c>
      <x:c r="V8" s="6" t="n">
        <x:f>'Assumptions'!$B$24*'Assumptions'!$B$25</x:f>
        <x:v>320</x:v>
      </x:c>
      <x:c r="W8" s="6" t="n">
        <x:f>SUM(S$6:S8)-SUM(V$6:V8)-'Assumptions'!$B$27-'Assumptions'!$B$28-'Assumptions'!$B$26*'Assumptions'!$B$25</x:f>
        <x:v>-41124.8381979375</x:v>
      </x:c>
    </x:row>
    <x:row r="9" ht="22" customHeight="1">
      <x:c r="A9" s="46" t="n">
        <x:f>4</x:f>
        <x:v>4</x:v>
      </x:c>
      <x:c r="B9" s="6" t="n">
        <x:f>B8*(1+'Assumptions'!$B$7)</x:f>
        <x:v>265.302</x:v>
      </x:c>
      <x:c r="C9" s="6" t="n">
        <x:f>SUM(B$6:B9)</x:f>
        <x:v>1030.402</x:v>
      </x:c>
      <x:c r="D9" s="6" t="n">
        <x:f>B9*'Retention'!B6+B8*'Retention'!B7+B7*'Retention'!B8+B6*'Retention'!B9</x:f>
        <x:v>289.6187</x:v>
      </x:c>
      <x:c r="E9" s="6" t="n">
        <x:f>D9*'Assumptions'!$B$15</x:f>
        <x:v>43.442805</x:v>
      </x:c>
      <x:c r="F9" s="6" t="n">
        <x:f>IF(A9&gt;'Assumptions'!$B$30,INDEX(B$6:B$29,A9-'Assumptions'!$B$30),0)*'Assumptions'!$B$8</x:f>
        <x:v>1.0404000000000002</x:v>
      </x:c>
      <x:c r="G9" s="6" t="n">
        <x:f>IF(A9&gt;'Assumptions'!$B$30,INDEX(B$6:B$29,A9-'Assumptions'!$B$30),0)*'Assumptions'!$B$10</x:f>
        <x:v>1.3005000000000002</x:v>
      </x:c>
      <x:c r="H9" s="6" t="n">
        <x:f>F9*'Assumptions'!$B$9+G9*'Assumptions'!$B$11</x:f>
        <x:v>12.461391000000003</x:v>
      </x:c>
      <x:c r="I9" s="6" t="n">
        <x:f>H9-H9/(1+'Assumptions'!$B$12)</x:f>
        <x:v>2.0768985000000004</x:v>
      </x:c>
      <x:c r="J9" s="6" t="n">
        <x:f>(H9-I9)*'Assumptions'!$B$13</x:f>
        <x:v>0.31153477500000004</x:v>
      </x:c>
      <x:c r="K9" s="6" t="n">
        <x:f>(H9-I9-J9)*'Assumptions'!$B$14</x:f>
        <x:v>1.5109436587500003</x:v>
      </x:c>
      <x:c r="L9" s="6" t="n">
        <x:f>H9-SUM(I9:K9)</x:f>
        <x:v>8.56201406625</x:v>
      </x:c>
      <x:c r="M9" s="6" t="n">
        <x:f>E9*'Assumptions'!$B$19*'Assumptions'!$B$17*'Assumptions'!$B$18/1000*'Assumptions'!$B$16</x:f>
        <x:v>0</x:v>
      </x:c>
      <x:c r="N9" s="6" t="n">
        <x:f>SUM(L9:M9)</x:f>
        <x:v>8.56201406625</x:v>
      </x:c>
      <x:c r="O9" s="6" t="n">
        <x:f>'Assumptions'!$B$20+D9/1000*'Assumptions'!$B$21</x:f>
        <x:v>40.5792374</x:v>
      </x:c>
      <x:c r="P9" s="6" t="n">
        <x:f>'Assumptions'!$B$22</x:f>
        <x:v>10</x:v>
      </x:c>
      <x:c r="Q9" s="6" t="n">
        <x:f>'Assumptions'!$B$23</x:f>
        <x:v>0</x:v>
      </x:c>
      <x:c r="R9" s="6" t="n">
        <x:f>SUM(O9:Q9)</x:f>
        <x:v>50.5792374</x:v>
      </x:c>
      <x:c r="S9" s="6" t="n">
        <x:f>N9-R9</x:f>
        <x:v>-42.017223333749996</x:v>
      </x:c>
      <x:c r="T9" s="6" t="n">
        <x:f>IF(A9&gt;'Assumptions'!$B$31,INDEX(N$6:N$29,A9-'Assumptions'!$B$31),0)</x:f>
        <x:v>8.3941314375</x:v>
      </x:c>
      <x:c r="U9" s="6" t="n">
        <x:f>'Assumptions'!$B$29-'Assumptions'!$B$27-'Assumptions'!$B$28+SUM(T$6:T9)-SUM(R$6:R9)</x:f>
        <x:v>-215.4174353375</x:v>
      </x:c>
      <x:c r="V9" s="6" t="n">
        <x:f>'Assumptions'!$B$24*'Assumptions'!$B$25</x:f>
        <x:v>320</x:v>
      </x:c>
      <x:c r="W9" s="6" t="n">
        <x:f>SUM(S$6:S9)-SUM(V$6:V9)-'Assumptions'!$B$27-'Assumptions'!$B$28-'Assumptions'!$B$26*'Assumptions'!$B$25</x:f>
        <x:v>-41486.85542127125</x:v>
      </x:c>
    </x:row>
    <x:row r="10" ht="22" customHeight="1">
      <x:c r="A10" s="46" t="n">
        <x:f>5</x:f>
        <x:v>5</x:v>
      </x:c>
      <x:c r="B10" s="6" t="n">
        <x:f>B9*(1+'Assumptions'!$B$7)</x:f>
        <x:v>270.60804</x:v>
      </x:c>
      <x:c r="C10" s="6" t="n">
        <x:f>SUM(B$6:B10)</x:f>
        <x:v>1301.0100400000001</x:v>
      </x:c>
      <x:c r="D10" s="6" t="n">
        <x:f>B10*'Retention'!B6+B9*'Retention'!B7+B8*'Retention'!B8+B7*'Retention'!B9+B6*'Retention'!B10</x:f>
        <x:v>307.286074</x:v>
      </x:c>
      <x:c r="E10" s="6" t="n">
        <x:f>D10*'Assumptions'!$B$15</x:f>
        <x:v>46.092911099999995</x:v>
      </x:c>
      <x:c r="F10" s="6" t="n">
        <x:f>IF(A10&gt;'Assumptions'!$B$30,INDEX(B$6:B$29,A10-'Assumptions'!$B$30),0)*'Assumptions'!$B$8</x:f>
        <x:v>1.0612080000000002</x:v>
      </x:c>
      <x:c r="G10" s="6" t="n">
        <x:f>IF(A10&gt;'Assumptions'!$B$30,INDEX(B$6:B$29,A10-'Assumptions'!$B$30),0)*'Assumptions'!$B$10</x:f>
        <x:v>1.32651</x:v>
      </x:c>
      <x:c r="H10" s="6" t="n">
        <x:f>F10*'Assumptions'!$B$9+G10*'Assumptions'!$B$11</x:f>
        <x:v>12.71061882</x:v>
      </x:c>
      <x:c r="I10" s="6" t="n">
        <x:f>H10-H10/(1+'Assumptions'!$B$12)</x:f>
        <x:v>2.118436469999999</x:v>
      </x:c>
      <x:c r="J10" s="6" t="n">
        <x:f>(H10-I10)*'Assumptions'!$B$13</x:f>
        <x:v>0.31776547050000004</x:v>
      </x:c>
      <x:c r="K10" s="6" t="n">
        <x:f>(H10-I10-J10)*'Assumptions'!$B$14</x:f>
        <x:v>1.5411625319250002</x:v>
      </x:c>
      <x:c r="L10" s="6" t="n">
        <x:f>H10-SUM(I10:K10)</x:f>
        <x:v>8.733254347575002</x:v>
      </x:c>
      <x:c r="M10" s="6" t="n">
        <x:f>E10*'Assumptions'!$B$19*'Assumptions'!$B$17*'Assumptions'!$B$18/1000*'Assumptions'!$B$16</x:f>
        <x:v>0</x:v>
      </x:c>
      <x:c r="N10" s="6" t="n">
        <x:f>SUM(L10:M10)</x:f>
        <x:v>8.733254347575002</x:v>
      </x:c>
      <x:c r="O10" s="6" t="n">
        <x:f>'Assumptions'!$B$20+D10/1000*'Assumptions'!$B$21</x:f>
        <x:v>40.614572148</x:v>
      </x:c>
      <x:c r="P10" s="6" t="n">
        <x:f>'Assumptions'!$B$22</x:f>
        <x:v>10</x:v>
      </x:c>
      <x:c r="Q10" s="6" t="n">
        <x:f>'Assumptions'!$B$23</x:f>
        <x:v>0</x:v>
      </x:c>
      <x:c r="R10" s="6" t="n">
        <x:f>SUM(O10:Q10)</x:f>
        <x:v>50.614572148</x:v>
      </x:c>
      <x:c r="S10" s="6" t="n">
        <x:f>N10-R10</x:f>
        <x:v>-41.881317800424995</x:v>
      </x:c>
      <x:c r="T10" s="6" t="n">
        <x:f>IF(A10&gt;'Assumptions'!$B$31,INDEX(N$6:N$29,A10-'Assumptions'!$B$31),0)</x:f>
        <x:v>8.56201406625</x:v>
      </x:c>
      <x:c r="U10" s="6" t="n">
        <x:f>'Assumptions'!$B$29-'Assumptions'!$B$27-'Assumptions'!$B$28+SUM(T$6:T10)-SUM(R$6:R10)</x:f>
        <x:v>-257.46999341925</x:v>
      </x:c>
      <x:c r="V10" s="6" t="n">
        <x:f>'Assumptions'!$B$24*'Assumptions'!$B$25</x:f>
        <x:v>320</x:v>
      </x:c>
      <x:c r="W10" s="6" t="n">
        <x:f>SUM(S$6:S10)-SUM(V$6:V10)-'Assumptions'!$B$27-'Assumptions'!$B$28-'Assumptions'!$B$26*'Assumptions'!$B$25</x:f>
        <x:v>-41848.736739071675</x:v>
      </x:c>
    </x:row>
    <x:row r="11" ht="22" customHeight="1">
      <x:c r="A11" s="46" t="n">
        <x:f>6</x:f>
        <x:v>6</x:v>
      </x:c>
      <x:c r="B11" s="6" t="n">
        <x:f>B10*(1+'Assumptions'!$B$7)</x:f>
        <x:v>276.0202008</x:v>
      </x:c>
      <x:c r="C11" s="6" t="n">
        <x:f>SUM(B$6:B11)</x:f>
        <x:v>1577.0302408000002</x:v>
      </x:c>
      <x:c r="D11" s="6" t="n">
        <x:f>B11*'Retention'!B6+B10*'Retention'!B7+B9*'Retention'!B8+B8*'Retention'!B9+B7*'Retention'!B10+B6*'Retention'!B11</x:f>
        <x:v>324.71304547999995</x:v>
      </x:c>
      <x:c r="E11" s="6" t="n">
        <x:f>D11*'Assumptions'!$B$15</x:f>
        <x:v>48.70695682199999</x:v>
      </x:c>
      <x:c r="F11" s="6" t="n">
        <x:f>IF(A11&gt;'Assumptions'!$B$30,INDEX(B$6:B$29,A11-'Assumptions'!$B$30),0)*'Assumptions'!$B$8</x:f>
        <x:v>1.0824321600000002</x:v>
      </x:c>
      <x:c r="G11" s="6" t="n">
        <x:f>IF(A11&gt;'Assumptions'!$B$30,INDEX(B$6:B$29,A11-'Assumptions'!$B$30),0)*'Assumptions'!$B$10</x:f>
        <x:v>1.3530402000000001</x:v>
      </x:c>
      <x:c r="H11" s="6" t="n">
        <x:f>F11*'Assumptions'!$B$9+G11*'Assumptions'!$B$11</x:f>
        <x:v>12.964831196400002</x:v>
      </x:c>
      <x:c r="I11" s="6" t="n">
        <x:f>H11-H11/(1+'Assumptions'!$B$12)</x:f>
        <x:v>2.1608051994000004</x:v>
      </x:c>
      <x:c r="J11" s="6" t="n">
        <x:f>(H11-I11)*'Assumptions'!$B$13</x:f>
        <x:v>0.32412077991000005</x:v>
      </x:c>
      <x:c r="K11" s="6" t="n">
        <x:f>(H11-I11-J11)*'Assumptions'!$B$14</x:f>
        <x:v>1.5719857825635002</x:v>
      </x:c>
      <x:c r="L11" s="6" t="n">
        <x:f>H11-SUM(I11:K11)</x:f>
        <x:v>8.907919434526502</x:v>
      </x:c>
      <x:c r="M11" s="6" t="n">
        <x:f>E11*'Assumptions'!$B$19*'Assumptions'!$B$17*'Assumptions'!$B$18/1000*'Assumptions'!$B$16</x:f>
        <x:v>0</x:v>
      </x:c>
      <x:c r="N11" s="6" t="n">
        <x:f>SUM(L11:M11)</x:f>
        <x:v>8.907919434526502</x:v>
      </x:c>
      <x:c r="O11" s="6" t="n">
        <x:f>'Assumptions'!$B$20+D11/1000*'Assumptions'!$B$21</x:f>
        <x:v>40.64942609096</x:v>
      </x:c>
      <x:c r="P11" s="6" t="n">
        <x:f>'Assumptions'!$B$22</x:f>
        <x:v>10</x:v>
      </x:c>
      <x:c r="Q11" s="6" t="n">
        <x:f>'Assumptions'!$B$23</x:f>
        <x:v>0</x:v>
      </x:c>
      <x:c r="R11" s="6" t="n">
        <x:f>SUM(O11:Q11)</x:f>
        <x:v>50.64942609096</x:v>
      </x:c>
      <x:c r="S11" s="6" t="n">
        <x:f>N11-R11</x:f>
        <x:v>-41.7415066564335</x:v>
      </x:c>
      <x:c r="T11" s="6" t="n">
        <x:f>IF(A11&gt;'Assumptions'!$B$31,INDEX(N$6:N$29,A11-'Assumptions'!$B$31),0)</x:f>
        <x:v>8.733254347575002</x:v>
      </x:c>
      <x:c r="U11" s="6" t="n">
        <x:f>'Assumptions'!$B$29-'Assumptions'!$B$27-'Assumptions'!$B$28+SUM(T$6:T11)-SUM(R$6:R11)</x:f>
        <x:v>-299.386165162635</x:v>
      </x:c>
      <x:c r="V11" s="6" t="n">
        <x:f>'Assumptions'!$B$24*'Assumptions'!$B$25</x:f>
        <x:v>320</x:v>
      </x:c>
      <x:c r="W11" s="6" t="n">
        <x:f>SUM(S$6:S11)-SUM(V$6:V11)-'Assumptions'!$B$27-'Assumptions'!$B$28-'Assumptions'!$B$26*'Assumptions'!$B$25</x:f>
        <x:v>-42210.47824572811</x:v>
      </x:c>
    </x:row>
    <x:row r="12" ht="22" customHeight="1">
      <x:c r="A12" s="46" t="n">
        <x:f>7</x:f>
        <x:v>7</x:v>
      </x:c>
      <x:c r="B12" s="6" t="n">
        <x:f>B11*(1+'Assumptions'!$B$7)</x:f>
        <x:v>281.540604816</x:v>
      </x:c>
      <x:c r="C12" s="6" t="n">
        <x:f>SUM(B$6:B12)</x:f>
        <x:v>1858.5708456160003</x:v>
      </x:c>
      <x:c r="D12" s="6" t="n">
        <x:f>B12*'Retention'!B6+B11*'Retention'!B7+B10*'Retention'!B8+B9*'Retention'!B9+B8*'Retention'!B10+B7*'Retention'!B11+B6*'Retention'!B12</x:f>
        <x:v>341.9244938896</x:v>
      </x:c>
      <x:c r="E12" s="6" t="n">
        <x:f>D12*'Assumptions'!$B$15</x:f>
        <x:v>51.28867408344</x:v>
      </x:c>
      <x:c r="F12" s="6" t="n">
        <x:f>IF(A12&gt;'Assumptions'!$B$30,INDEX(B$6:B$29,A12-'Assumptions'!$B$30),0)*'Assumptions'!$B$8</x:f>
        <x:v>1.1040808032</x:v>
      </x:c>
      <x:c r="G12" s="6" t="n">
        <x:f>IF(A12&gt;'Assumptions'!$B$30,INDEX(B$6:B$29,A12-'Assumptions'!$B$30),0)*'Assumptions'!$B$10</x:f>
        <x:v>1.380101004</x:v>
      </x:c>
      <x:c r="H12" s="6" t="n">
        <x:f>F12*'Assumptions'!$B$9+G12*'Assumptions'!$B$11</x:f>
        <x:v>13.224127820328</x:v>
      </x:c>
      <x:c r="I12" s="6" t="n">
        <x:f>H12-H12/(1+'Assumptions'!$B$12)</x:f>
        <x:v>2.204021303388</x:v>
      </x:c>
      <x:c r="J12" s="6" t="n">
        <x:f>(H12-I12)*'Assumptions'!$B$13</x:f>
        <x:v>0.3306031955082</x:v>
      </x:c>
      <x:c r="K12" s="6" t="n">
        <x:f>(H12-I12-J12)*'Assumptions'!$B$14</x:f>
        <x:v>1.60342549821477</x:v>
      </x:c>
      <x:c r="L12" s="6" t="n">
        <x:f>H12-SUM(I12:K12)</x:f>
        <x:v>9.08607782321703</x:v>
      </x:c>
      <x:c r="M12" s="6" t="n">
        <x:f>E12*'Assumptions'!$B$19*'Assumptions'!$B$17*'Assumptions'!$B$18/1000*'Assumptions'!$B$16</x:f>
        <x:v>0</x:v>
      </x:c>
      <x:c r="N12" s="6" t="n">
        <x:f>SUM(L12:M12)</x:f>
        <x:v>9.08607782321703</x:v>
      </x:c>
      <x:c r="O12" s="6" t="n">
        <x:f>'Assumptions'!$B$20+D12/1000*'Assumptions'!$B$21</x:f>
        <x:v>40.6838489877792</x:v>
      </x:c>
      <x:c r="P12" s="6" t="n">
        <x:f>'Assumptions'!$B$22</x:f>
        <x:v>10</x:v>
      </x:c>
      <x:c r="Q12" s="6" t="n">
        <x:f>'Assumptions'!$B$23</x:f>
        <x:v>0</x:v>
      </x:c>
      <x:c r="R12" s="6" t="n">
        <x:f>SUM(O12:Q12)</x:f>
        <x:v>50.6838489877792</x:v>
      </x:c>
      <x:c r="S12" s="6" t="n">
        <x:f>N12-R12</x:f>
        <x:v>-41.59777116456217</x:v>
      </x:c>
      <x:c r="T12" s="6" t="n">
        <x:f>IF(A12&gt;'Assumptions'!$B$31,INDEX(N$6:N$29,A12-'Assumptions'!$B$31),0)</x:f>
        <x:v>8.907919434526502</x:v>
      </x:c>
      <x:c r="U12" s="6" t="n">
        <x:f>'Assumptions'!$B$29-'Assumptions'!$B$27-'Assumptions'!$B$28+SUM(T$6:T12)-SUM(R$6:R12)</x:f>
        <x:v>-341.1620947158877</x:v>
      </x:c>
      <x:c r="V12" s="6" t="n">
        <x:f>'Assumptions'!$B$24*'Assumptions'!$B$25</x:f>
        <x:v>320</x:v>
      </x:c>
      <x:c r="W12" s="6" t="n">
        <x:f>SUM(S$6:S12)-SUM(V$6:V12)-'Assumptions'!$B$27-'Assumptions'!$B$28-'Assumptions'!$B$26*'Assumptions'!$B$25</x:f>
        <x:v>-42572.07601689267</x:v>
      </x:c>
    </x:row>
    <x:row r="13" ht="22" customHeight="1">
      <x:c r="A13" s="46" t="n">
        <x:f>8</x:f>
        <x:v>8</x:v>
      </x:c>
      <x:c r="B13" s="6" t="n">
        <x:f>B12*(1+'Assumptions'!$B$7)</x:f>
        <x:v>287.17141691232</x:v>
      </x:c>
      <x:c r="C13" s="6" t="n">
        <x:f>SUM(B$6:B13)</x:f>
        <x:v>2145.74226252832</x:v>
      </x:c>
      <x:c r="D13" s="6" t="n">
        <x:f>B13*'Retention'!B6+B12*'Retention'!B7+B11*'Retention'!B8+B10*'Retention'!B9+B9*'Retention'!B10+B8*'Retention'!B11+B7*'Retention'!B12+B6*'Retention'!B13</x:f>
        <x:v>358.94431189239197</x:v>
      </x:c>
      <x:c r="E13" s="6" t="n">
        <x:f>D13*'Assumptions'!$B$15</x:f>
        <x:v>53.84164678385879</x:v>
      </x:c>
      <x:c r="F13" s="6" t="n">
        <x:f>IF(A13&gt;'Assumptions'!$B$30,INDEX(B$6:B$29,A13-'Assumptions'!$B$30),0)*'Assumptions'!$B$8</x:f>
        <x:v>1.126162419264</x:v>
      </x:c>
      <x:c r="G13" s="6" t="n">
        <x:f>IF(A13&gt;'Assumptions'!$B$30,INDEX(B$6:B$29,A13-'Assumptions'!$B$30),0)*'Assumptions'!$B$10</x:f>
        <x:v>1.40770302408</x:v>
      </x:c>
      <x:c r="H13" s="6" t="n">
        <x:f>F13*'Assumptions'!$B$9+G13*'Assumptions'!$B$11</x:f>
        <x:v>13.488610376734561</x:v>
      </x:c>
      <x:c r="I13" s="6" t="n">
        <x:f>H13-H13/(1+'Assumptions'!$B$12)</x:f>
        <x:v>2.24810172945576</x:v>
      </x:c>
      <x:c r="J13" s="6" t="n">
        <x:f>(H13-I13)*'Assumptions'!$B$13</x:f>
        <x:v>0.33721525941836406</x:v>
      </x:c>
      <x:c r="K13" s="6" t="n">
        <x:f>(H13-I13-J13)*'Assumptions'!$B$14</x:f>
        <x:v>1.6354940081790654</x:v>
      </x:c>
      <x:c r="L13" s="6" t="n">
        <x:f>H13-SUM(I13:K13)</x:f>
        <x:v>9.267799379681371</x:v>
      </x:c>
      <x:c r="M13" s="6" t="n">
        <x:f>E13*'Assumptions'!$B$19*'Assumptions'!$B$17*'Assumptions'!$B$18/1000*'Assumptions'!$B$16</x:f>
        <x:v>0</x:v>
      </x:c>
      <x:c r="N13" s="6" t="n">
        <x:f>SUM(L13:M13)</x:f>
        <x:v>9.267799379681371</x:v>
      </x:c>
      <x:c r="O13" s="6" t="n">
        <x:f>'Assumptions'!$B$20+D13/1000*'Assumptions'!$B$21</x:f>
        <x:v>40.71788862378478</x:v>
      </x:c>
      <x:c r="P13" s="6" t="n">
        <x:f>'Assumptions'!$B$22</x:f>
        <x:v>10</x:v>
      </x:c>
      <x:c r="Q13" s="6" t="n">
        <x:f>'Assumptions'!$B$23</x:f>
        <x:v>0</x:v>
      </x:c>
      <x:c r="R13" s="6" t="n">
        <x:f>SUM(O13:Q13)</x:f>
        <x:v>50.71788862378478</x:v>
      </x:c>
      <x:c r="S13" s="6" t="n">
        <x:f>N13-R13</x:f>
        <x:v>-41.45008924410341</x:v>
      </x:c>
      <x:c r="T13" s="6" t="n">
        <x:f>IF(A13&gt;'Assumptions'!$B$31,INDEX(N$6:N$29,A13-'Assumptions'!$B$31),0)</x:f>
        <x:v>9.08607782321703</x:v>
      </x:c>
      <x:c r="U13" s="6" t="n">
        <x:f>'Assumptions'!$B$29-'Assumptions'!$B$27-'Assumptions'!$B$28+SUM(T$6:T13)-SUM(R$6:R13)</x:f>
        <x:v>-382.7939055164555</x:v>
      </x:c>
      <x:c r="V13" s="6" t="n">
        <x:f>'Assumptions'!$B$24*'Assumptions'!$B$25</x:f>
        <x:v>320</x:v>
      </x:c>
      <x:c r="W13" s="6" t="n">
        <x:f>SUM(S$6:S13)-SUM(V$6:V13)-'Assumptions'!$B$27-'Assumptions'!$B$28-'Assumptions'!$B$26*'Assumptions'!$B$25</x:f>
        <x:v>-42933.52610613677</x:v>
      </x:c>
    </x:row>
    <x:row r="14" ht="22" customHeight="1">
      <x:c r="A14" s="46" t="n">
        <x:f>9</x:f>
        <x:v>9</x:v>
      </x:c>
      <x:c r="B14" s="6" t="n">
        <x:f>B13*(1+'Assumptions'!$B$7)</x:f>
        <x:v>292.91484525056643</x:v>
      </x:c>
      <x:c r="C14" s="6" t="n">
        <x:f>SUM(B$6:B14)</x:f>
        <x:v>2438.6571077788867</x:v>
      </x:c>
      <x:c r="D14" s="6" t="n">
        <x:f>B14*'Retention'!B6+B13*'Retention'!B7+B12*'Retention'!B8+B11*'Retention'!B9+B10*'Retention'!B10+B9*'Retention'!B11+B8*'Retention'!B12+B7*'Retention'!B13+B6*'Retention'!B14</x:f>
        <x:v>375.7954598489898</x:v>
      </x:c>
      <x:c r="E14" s="6" t="n">
        <x:f>D14*'Assumptions'!$B$15</x:f>
        <x:v>56.36931897734847</x:v>
      </x:c>
      <x:c r="F14" s="6" t="n">
        <x:f>IF(A14&gt;'Assumptions'!$B$30,INDEX(B$6:B$29,A14-'Assumptions'!$B$30),0)*'Assumptions'!$B$8</x:f>
        <x:v>1.14868566764928</x:v>
      </x:c>
      <x:c r="G14" s="6" t="n">
        <x:f>IF(A14&gt;'Assumptions'!$B$30,INDEX(B$6:B$29,A14-'Assumptions'!$B$30),0)*'Assumptions'!$B$10</x:f>
        <x:v>1.4358570845616</x:v>
      </x:c>
      <x:c r="H14" s="6" t="n">
        <x:f>F14*'Assumptions'!$B$9+G14*'Assumptions'!$B$11</x:f>
        <x:v>13.758382584269253</x:v>
      </x:c>
      <x:c r="I14" s="6" t="n">
        <x:f>H14-H14/(1+'Assumptions'!$B$12)</x:f>
        <x:v>2.2930637640448754</x:v>
      </x:c>
      <x:c r="J14" s="6" t="n">
        <x:f>(H14-I14)*'Assumptions'!$B$13</x:f>
        <x:v>0.3439595646067313</x:v>
      </x:c>
      <x:c r="K14" s="6" t="n">
        <x:f>(H14-I14-J14)*'Assumptions'!$B$14</x:f>
        <x:v>1.6682038883426469</x:v>
      </x:c>
      <x:c r="L14" s="6" t="n">
        <x:f>H14-SUM(I14:K14)</x:f>
        <x:v>9.453155367274999</x:v>
      </x:c>
      <x:c r="M14" s="6" t="n">
        <x:f>E14*'Assumptions'!$B$19*'Assumptions'!$B$17*'Assumptions'!$B$18/1000*'Assumptions'!$B$16</x:f>
        <x:v>0</x:v>
      </x:c>
      <x:c r="N14" s="6" t="n">
        <x:f>SUM(L14:M14)</x:f>
        <x:v>9.453155367274999</x:v>
      </x:c>
      <x:c r="O14" s="6" t="n">
        <x:f>'Assumptions'!$B$20+D14/1000*'Assumptions'!$B$21</x:f>
        <x:v>40.75159091969798</x:v>
      </x:c>
      <x:c r="P14" s="6" t="n">
        <x:f>'Assumptions'!$B$22</x:f>
        <x:v>10</x:v>
      </x:c>
      <x:c r="Q14" s="6" t="n">
        <x:f>'Assumptions'!$B$23</x:f>
        <x:v>0</x:v>
      </x:c>
      <x:c r="R14" s="6" t="n">
        <x:f>SUM(O14:Q14)</x:f>
        <x:v>50.75159091969798</x:v>
      </x:c>
      <x:c r="S14" s="6" t="n">
        <x:f>N14-R14</x:f>
        <x:v>-41.29843555242299</x:v>
      </x:c>
      <x:c r="T14" s="6" t="n">
        <x:f>IF(A14&gt;'Assumptions'!$B$31,INDEX(N$6:N$29,A14-'Assumptions'!$B$31),0)</x:f>
        <x:v>9.267799379681371</x:v>
      </x:c>
      <x:c r="U14" s="6" t="n">
        <x:f>'Assumptions'!$B$29-'Assumptions'!$B$27-'Assumptions'!$B$28+SUM(T$6:T14)-SUM(R$6:R14)</x:f>
        <x:v>-424.2776970564721</x:v>
      </x:c>
      <x:c r="V14" s="6" t="n">
        <x:f>'Assumptions'!$B$24*'Assumptions'!$B$25</x:f>
        <x:v>320</x:v>
      </x:c>
      <x:c r="W14" s="6" t="n">
        <x:f>SUM(S$6:S14)-SUM(V$6:V14)-'Assumptions'!$B$27-'Assumptions'!$B$28-'Assumptions'!$B$26*'Assumptions'!$B$25</x:f>
        <x:v>-43294.824541689195</x:v>
      </x:c>
    </x:row>
    <x:row r="15" ht="22" customHeight="1">
      <x:c r="A15" s="46" t="n">
        <x:f>10</x:f>
        <x:v>10</x:v>
      </x:c>
      <x:c r="B15" s="6" t="n">
        <x:f>B14*(1+'Assumptions'!$B$7)</x:f>
        <x:v>298.7731421555778</x:v>
      </x:c>
      <x:c r="C15" s="6" t="n">
        <x:f>SUM(B$6:B15)</x:f>
        <x:v>2737.4302499344644</x:v>
      </x:c>
      <x:c r="D15" s="6" t="n">
        <x:f>B15*'Retention'!B6+B14*'Retention'!B7+B13*'Retention'!B8+B12*'Retention'!B9+B11*'Retention'!B10+B10*'Retention'!B11+B9*'Retention'!B12+B8*'Retention'!B13+B7*'Retention'!B14+B6*'Retention'!B15</x:f>
        <x:v>392.5000176787821</x:v>
      </x:c>
      <x:c r="E15" s="6" t="n">
        <x:f>D15*'Assumptions'!$B$15</x:f>
        <x:v>58.87500265181731</x:v>
      </x:c>
      <x:c r="F15" s="6" t="n">
        <x:f>IF(A15&gt;'Assumptions'!$B$30,INDEX(B$6:B$29,A15-'Assumptions'!$B$30),0)*'Assumptions'!$B$8</x:f>
        <x:v>1.1716593810022657</x:v>
      </x:c>
      <x:c r="G15" s="6" t="n">
        <x:f>IF(A15&gt;'Assumptions'!$B$30,INDEX(B$6:B$29,A15-'Assumptions'!$B$30),0)*'Assumptions'!$B$10</x:f>
        <x:v>1.464574226252832</x:v>
      </x:c>
      <x:c r="H15" s="6" t="n">
        <x:f>F15*'Assumptions'!$B$9+G15*'Assumptions'!$B$11</x:f>
        <x:v>14.033550235954639</x:v>
      </x:c>
      <x:c r="I15" s="6" t="n">
        <x:f>H15-H15/(1+'Assumptions'!$B$12)</x:f>
        <x:v>2.3389250393257726</x:v>
      </x:c>
      <x:c r="J15" s="6" t="n">
        <x:f>(H15-I15)*'Assumptions'!$B$13</x:f>
        <x:v>0.350838755898866</x:v>
      </x:c>
      <x:c r="K15" s="6" t="n">
        <x:f>(H15-I15-J15)*'Assumptions'!$B$14</x:f>
        <x:v>1.7015679661095</x:v>
      </x:c>
      <x:c r="L15" s="6" t="n">
        <x:f>H15-SUM(I15:K15)</x:f>
        <x:v>9.642218474620499</x:v>
      </x:c>
      <x:c r="M15" s="6" t="n">
        <x:f>E15*'Assumptions'!$B$19*'Assumptions'!$B$17*'Assumptions'!$B$18/1000*'Assumptions'!$B$16</x:f>
        <x:v>0</x:v>
      </x:c>
      <x:c r="N15" s="6" t="n">
        <x:f>SUM(L15:M15)</x:f>
        <x:v>9.642218474620499</x:v>
      </x:c>
      <x:c r="O15" s="6" t="n">
        <x:f>'Assumptions'!$B$20+D15/1000*'Assumptions'!$B$21</x:f>
        <x:v>40.78500003535756</x:v>
      </x:c>
      <x:c r="P15" s="6" t="n">
        <x:f>'Assumptions'!$B$22</x:f>
        <x:v>10</x:v>
      </x:c>
      <x:c r="Q15" s="6" t="n">
        <x:f>'Assumptions'!$B$23</x:f>
        <x:v>0</x:v>
      </x:c>
      <x:c r="R15" s="6" t="n">
        <x:f>SUM(O15:Q15)</x:f>
        <x:v>50.78500003535756</x:v>
      </x:c>
      <x:c r="S15" s="6" t="n">
        <x:f>N15-R15</x:f>
        <x:v>-41.14278156073706</x:v>
      </x:c>
      <x:c r="T15" s="6" t="n">
        <x:f>IF(A15&gt;'Assumptions'!$B$31,INDEX(N$6:N$29,A15-'Assumptions'!$B$31),0)</x:f>
        <x:v>9.453155367274999</x:v>
      </x:c>
      <x:c r="U15" s="6" t="n">
        <x:f>'Assumptions'!$B$29-'Assumptions'!$B$27-'Assumptions'!$B$28+SUM(T$6:T15)-SUM(R$6:R15)</x:f>
        <x:v>-465.6095417245546</x:v>
      </x:c>
      <x:c r="V15" s="6" t="n">
        <x:f>'Assumptions'!$B$24*'Assumptions'!$B$25</x:f>
        <x:v>320</x:v>
      </x:c>
      <x:c r="W15" s="6" t="n">
        <x:f>SUM(S$6:S15)-SUM(V$6:V15)-'Assumptions'!$B$27-'Assumptions'!$B$28-'Assumptions'!$B$26*'Assumptions'!$B$25</x:f>
        <x:v>-43655.96732324993</x:v>
      </x:c>
    </x:row>
    <x:row r="16" ht="22" customHeight="1">
      <x:c r="A16" s="46" t="n">
        <x:f>11</x:f>
        <x:v>11</x:v>
      </x:c>
      <x:c r="B16" s="6" t="n">
        <x:f>B15*(1+'Assumptions'!$B$7)</x:f>
        <x:v>304.74860499868936</x:v>
      </x:c>
      <x:c r="C16" s="6" t="n">
        <x:f>SUM(B$6:B16)</x:f>
        <x:v>3042.1788549331536</x:v>
      </x:c>
      <x:c r="D16" s="6" t="n">
        <x:f>B16*'Retention'!B6+B15*'Retention'!B7+B14*'Retention'!B8+B13*'Retention'!B9+B12*'Retention'!B10+B11*'Retention'!B11+B10*'Retention'!B12+B9*'Retention'!B13+B8*'Retention'!B14+B7*'Retention'!B15+B6*'Retention'!B16</x:f>
        <x:v>409.07923423352975</x:v>
      </x:c>
      <x:c r="E16" s="6" t="n">
        <x:f>D16*'Assumptions'!$B$15</x:f>
        <x:v>61.36188513502946</x:v>
      </x:c>
      <x:c r="F16" s="6" t="n">
        <x:f>IF(A16&gt;'Assumptions'!$B$30,INDEX(B$6:B$29,A16-'Assumptions'!$B$30),0)*'Assumptions'!$B$8</x:f>
        <x:v>1.195092568622311</x:v>
      </x:c>
      <x:c r="G16" s="6" t="n">
        <x:f>IF(A16&gt;'Assumptions'!$B$30,INDEX(B$6:B$29,A16-'Assumptions'!$B$30),0)*'Assumptions'!$B$10</x:f>
        <x:v>1.493865710777889</x:v>
      </x:c>
      <x:c r="H16" s="6" t="n">
        <x:f>F16*'Assumptions'!$B$9+G16*'Assumptions'!$B$11</x:f>
        <x:v>14.314221240673731</x:v>
      </x:c>
      <x:c r="I16" s="6" t="n">
        <x:f>H16-H16/(1+'Assumptions'!$B$12)</x:f>
        <x:v>2.3857035401122886</x:v>
      </x:c>
      <x:c r="J16" s="6" t="n">
        <x:f>(H16-I16)*'Assumptions'!$B$13</x:f>
        <x:v>0.35785553101684325</x:v>
      </x:c>
      <x:c r="K16" s="6" t="n">
        <x:f>(H16-I16-J16)*'Assumptions'!$B$14</x:f>
        <x:v>1.73559932543169</x:v>
      </x:c>
      <x:c r="L16" s="6" t="n">
        <x:f>H16-SUM(I16:K16)</x:f>
        <x:v>9.83506284411291</x:v>
      </x:c>
      <x:c r="M16" s="6" t="n">
        <x:f>E16*'Assumptions'!$B$19*'Assumptions'!$B$17*'Assumptions'!$B$18/1000*'Assumptions'!$B$16</x:f>
        <x:v>0</x:v>
      </x:c>
      <x:c r="N16" s="6" t="n">
        <x:f>SUM(L16:M16)</x:f>
        <x:v>9.83506284411291</x:v>
      </x:c>
      <x:c r="O16" s="6" t="n">
        <x:f>'Assumptions'!$B$20+D16/1000*'Assumptions'!$B$21</x:f>
        <x:v>40.81815846846706</x:v>
      </x:c>
      <x:c r="P16" s="6" t="n">
        <x:f>'Assumptions'!$B$22</x:f>
        <x:v>10</x:v>
      </x:c>
      <x:c r="Q16" s="6" t="n">
        <x:f>'Assumptions'!$B$23</x:f>
        <x:v>0</x:v>
      </x:c>
      <x:c r="R16" s="6" t="n">
        <x:f>SUM(O16:Q16)</x:f>
        <x:v>50.81815846846706</x:v>
      </x:c>
      <x:c r="S16" s="6" t="n">
        <x:f>N16-R16</x:f>
        <x:v>-40.98309562435415</x:v>
      </x:c>
      <x:c r="T16" s="6" t="n">
        <x:f>IF(A16&gt;'Assumptions'!$B$31,INDEX(N$6:N$29,A16-'Assumptions'!$B$31),0)</x:f>
        <x:v>9.642218474620499</x:v>
      </x:c>
      <x:c r="U16" s="6" t="n">
        <x:f>'Assumptions'!$B$29-'Assumptions'!$B$27-'Assumptions'!$B$28+SUM(T$6:T16)-SUM(R$6:R16)</x:f>
        <x:v>-506.7854817184011</x:v>
      </x:c>
      <x:c r="V16" s="6" t="n">
        <x:f>'Assumptions'!$B$24*'Assumptions'!$B$25</x:f>
        <x:v>320</x:v>
      </x:c>
      <x:c r="W16" s="6" t="n">
        <x:f>SUM(S$6:S16)-SUM(V$6:V16)-'Assumptions'!$B$27-'Assumptions'!$B$28-'Assumptions'!$B$26*'Assumptions'!$B$25</x:f>
        <x:v>-44016.95041887429</x:v>
      </x:c>
    </x:row>
    <x:row r="17" ht="22" customHeight="1">
      <x:c r="A17" s="46" t="n">
        <x:f>12</x:f>
        <x:v>12</x:v>
      </x:c>
      <x:c r="B17" s="6" t="n">
        <x:f>B16*(1+'Assumptions'!$B$7)</x:f>
        <x:v>310.84357709866316</x:v>
      </x:c>
      <x:c r="C17" s="6" t="n">
        <x:f>SUM(B$6:B17)</x:f>
        <x:v>3353.0224320318166</x:v>
      </x:c>
      <x:c r="D17" s="6" t="n">
        <x:f>B17*'Retention'!B6+B16*'Retention'!B7+B15*'Retention'!B8+B14*'Retention'!B9+B13*'Retention'!B10+B12*'Retention'!B11+B11*'Retention'!B12+B10*'Retention'!B13+B9*'Retention'!B14+B8*'Retention'!B15+B7*'Retention'!B16+B6*'Retention'!B17</x:f>
        <x:v>425.55357430931366</x:v>
      </x:c>
      <x:c r="E17" s="6" t="n">
        <x:f>D17*'Assumptions'!$B$15</x:f>
        <x:v>63.83303614639705</x:v>
      </x:c>
      <x:c r="F17" s="6" t="n">
        <x:f>IF(A17&gt;'Assumptions'!$B$30,INDEX(B$6:B$29,A17-'Assumptions'!$B$30),0)*'Assumptions'!$B$8</x:f>
        <x:v>1.2189944199947575</x:v>
      </x:c>
      <x:c r="G17" s="6" t="n">
        <x:f>IF(A17&gt;'Assumptions'!$B$30,INDEX(B$6:B$29,A17-'Assumptions'!$B$30),0)*'Assumptions'!$B$10</x:f>
        <x:v>1.523743024993447</x:v>
      </x:c>
      <x:c r="H17" s="6" t="n">
        <x:f>F17*'Assumptions'!$B$9+G17*'Assumptions'!$B$11</x:f>
        <x:v>14.600505665487209</x:v>
      </x:c>
      <x:c r="I17" s="6" t="n">
        <x:f>H17-H17/(1+'Assumptions'!$B$12)</x:f>
        <x:v>2.4334176109145336</x:v>
      </x:c>
      <x:c r="J17" s="6" t="n">
        <x:f>(H17-I17)*'Assumptions'!$B$13</x:f>
        <x:v>0.3650126416371802</x:v>
      </x:c>
      <x:c r="K17" s="6" t="n">
        <x:f>(H17-I17-J17)*'Assumptions'!$B$14</x:f>
        <x:v>1.770311311940324</x:v>
      </x:c>
      <x:c r="L17" s="6" t="n">
        <x:f>H17-SUM(I17:K17)</x:f>
        <x:v>10.03176410099517</x:v>
      </x:c>
      <x:c r="M17" s="6" t="n">
        <x:f>E17*'Assumptions'!$B$19*'Assumptions'!$B$17*'Assumptions'!$B$18/1000*'Assumptions'!$B$16</x:f>
        <x:v>0</x:v>
      </x:c>
      <x:c r="N17" s="6" t="n">
        <x:f>SUM(L17:M17)</x:f>
        <x:v>10.03176410099517</x:v>
      </x:c>
      <x:c r="O17" s="6" t="n">
        <x:f>'Assumptions'!$B$20+D17/1000*'Assumptions'!$B$21</x:f>
        <x:v>40.851107148618624</x:v>
      </x:c>
      <x:c r="P17" s="6" t="n">
        <x:f>'Assumptions'!$B$22</x:f>
        <x:v>10</x:v>
      </x:c>
      <x:c r="Q17" s="6" t="n">
        <x:f>'Assumptions'!$B$23</x:f>
        <x:v>0</x:v>
      </x:c>
      <x:c r="R17" s="6" t="n">
        <x:f>SUM(O17:Q17)</x:f>
        <x:v>50.851107148618624</x:v>
      </x:c>
      <x:c r="S17" s="6" t="n">
        <x:f>N17-R17</x:f>
        <x:v>-40.819343047623455</x:v>
      </x:c>
      <x:c r="T17" s="6" t="n">
        <x:f>IF(A17&gt;'Assumptions'!$B$31,INDEX(N$6:N$29,A17-'Assumptions'!$B$31),0)</x:f>
        <x:v>9.83506284411291</x:v>
      </x:c>
      <x:c r="U17" s="6" t="n">
        <x:f>'Assumptions'!$B$29-'Assumptions'!$B$27-'Assumptions'!$B$28+SUM(T$6:T17)-SUM(R$6:R17)</x:f>
        <x:v>-547.801526022907</x:v>
      </x:c>
      <x:c r="V17" s="6" t="n">
        <x:f>'Assumptions'!$B$24*'Assumptions'!$B$25</x:f>
        <x:v>320</x:v>
      </x:c>
      <x:c r="W17" s="6" t="n">
        <x:f>SUM(S$6:S17)-SUM(V$6:V17)-'Assumptions'!$B$27-'Assumptions'!$B$28-'Assumptions'!$B$26*'Assumptions'!$B$25</x:f>
        <x:v>-44377.76976192191</x:v>
      </x:c>
    </x:row>
    <x:row r="18" ht="22" customHeight="1">
      <x:c r="A18" s="46" t="n">
        <x:f>13</x:f>
        <x:v>13</x:v>
      </x:c>
      <x:c r="B18" s="6" t="n">
        <x:f>B17*(1+'Assumptions'!$B$7)</x:f>
        <x:v>317.0604486406364</x:v>
      </x:c>
      <x:c r="C18" s="6" t="n">
        <x:f>SUM(B$6:B18)</x:f>
        <x:v>3670.082880672453</x:v>
      </x:c>
      <x:c r="D18" s="6" t="n">
        <x:f>B18*'Retention'!B6+B17*'Retention'!B7+B16*'Retention'!B8+B15*'Retention'!B9+B14*'Retention'!B10+B13*'Retention'!B11+B12*'Retention'!B12+B11*'Retention'!B13+B10*'Retention'!B14+B9*'Retention'!B15+B8*'Retention'!B16+B7*'Retention'!B17+B6*'Retention'!B18</x:f>
        <x:v>441.9427634170576</x:v>
      </x:c>
      <x:c r="E18" s="6" t="n">
        <x:f>D18*'Assumptions'!$B$15</x:f>
        <x:v>66.29141451255865</x:v>
      </x:c>
      <x:c r="F18" s="6" t="n">
        <x:f>IF(A18&gt;'Assumptions'!$B$30,INDEX(B$6:B$29,A18-'Assumptions'!$B$30),0)*'Assumptions'!$B$8</x:f>
        <x:v>1.2433743083946527</x:v>
      </x:c>
      <x:c r="G18" s="6" t="n">
        <x:f>IF(A18&gt;'Assumptions'!$B$30,INDEX(B$6:B$29,A18-'Assumptions'!$B$30),0)*'Assumptions'!$B$10</x:f>
        <x:v>1.5542178854933157</x:v>
      </x:c>
      <x:c r="H18" s="6" t="n">
        <x:f>F18*'Assumptions'!$B$9+G18*'Assumptions'!$B$11</x:f>
        <x:v>14.892515778796952</x:v>
      </x:c>
      <x:c r="I18" s="6" t="n">
        <x:f>H18-H18/(1+'Assumptions'!$B$12)</x:f>
        <x:v>2.4820859631328247</x:v>
      </x:c>
      <x:c r="J18" s="6" t="n">
        <x:f>(H18-I18)*'Assumptions'!$B$13</x:f>
        <x:v>0.37231289446992377</x:v>
      </x:c>
      <x:c r="K18" s="6" t="n">
        <x:f>(H18-I18-J18)*'Assumptions'!$B$14</x:f>
        <x:v>1.8057175381791306</x:v>
      </x:c>
      <x:c r="L18" s="6" t="n">
        <x:f>H18-SUM(I18:K18)</x:f>
        <x:v>10.232399383015073</x:v>
      </x:c>
      <x:c r="M18" s="6" t="n">
        <x:f>E18*'Assumptions'!$B$19*'Assumptions'!$B$17*'Assumptions'!$B$18/1000*'Assumptions'!$B$16</x:f>
        <x:v>0</x:v>
      </x:c>
      <x:c r="N18" s="6" t="n">
        <x:f>SUM(L18:M18)</x:f>
        <x:v>10.232399383015073</x:v>
      </x:c>
      <x:c r="O18" s="6" t="n">
        <x:f>'Assumptions'!$B$20+D18/1000*'Assumptions'!$B$21</x:f>
        <x:v>40.88388552683411</x:v>
      </x:c>
      <x:c r="P18" s="6" t="n">
        <x:f>'Assumptions'!$B$22</x:f>
        <x:v>10</x:v>
      </x:c>
      <x:c r="Q18" s="6" t="n">
        <x:f>'Assumptions'!$B$23</x:f>
        <x:v>0</x:v>
      </x:c>
      <x:c r="R18" s="6" t="n">
        <x:f>SUM(O18:Q18)</x:f>
        <x:v>50.88388552683411</x:v>
      </x:c>
      <x:c r="S18" s="6" t="n">
        <x:f>N18-R18</x:f>
        <x:v>-40.65148614381904</x:v>
      </x:c>
      <x:c r="T18" s="6" t="n">
        <x:f>IF(A18&gt;'Assumptions'!$B$31,INDEX(N$6:N$29,A18-'Assumptions'!$B$31),0)</x:f>
        <x:v>10.03176410099517</x:v>
      </x:c>
      <x:c r="U18" s="6" t="n">
        <x:f>'Assumptions'!$B$29-'Assumptions'!$B$27-'Assumptions'!$B$28+SUM(T$6:T18)-SUM(R$6:R18)</x:f>
        <x:v>-588.6536474487458</x:v>
      </x:c>
      <x:c r="V18" s="6" t="n">
        <x:f>'Assumptions'!$B$24*'Assumptions'!$B$25</x:f>
        <x:v>320</x:v>
      </x:c>
      <x:c r="W18" s="6" t="n">
        <x:f>SUM(S$6:S18)-SUM(V$6:V18)-'Assumptions'!$B$27-'Assumptions'!$B$28-'Assumptions'!$B$26*'Assumptions'!$B$25</x:f>
        <x:v>-44738.42124806573</x:v>
      </x:c>
    </x:row>
    <x:row r="19" ht="22" customHeight="1">
      <x:c r="A19" s="46" t="n">
        <x:f>14</x:f>
        <x:v>14</x:v>
      </x:c>
      <x:c r="B19" s="6" t="n">
        <x:f>B18*(1+'Assumptions'!$B$7)</x:f>
        <x:v>323.4016576134492</x:v>
      </x:c>
      <x:c r="C19" s="6" t="n">
        <x:f>SUM(B$6:B19)</x:f>
        <x:v>3993.484538285902</x:v>
      </x:c>
      <x:c r="D19" s="6" t="n">
        <x:f>B19*'Retention'!B6+B18*'Retention'!B7+B17*'Retention'!B8+B16*'Retention'!B9+B15*'Retention'!B10+B14*'Retention'!B11+B13*'Retention'!B12+B12*'Retention'!B13+B11*'Retention'!B14+B10*'Retention'!B15+B9*'Retention'!B16+B8*'Retention'!B17+B7*'Retention'!B18+B6*'Retention'!B19</x:f>
        <x:v>458.2658304258784</x:v>
      </x:c>
      <x:c r="E19" s="6" t="n">
        <x:f>D19*'Assumptions'!$B$15</x:f>
        <x:v>68.73987456388176</x:v>
      </x:c>
      <x:c r="F19" s="6" t="n">
        <x:f>IF(A19&gt;'Assumptions'!$B$30,INDEX(B$6:B$29,A19-'Assumptions'!$B$30),0)*'Assumptions'!$B$8</x:f>
        <x:v>1.2682417945625457</x:v>
      </x:c>
      <x:c r="G19" s="6" t="n">
        <x:f>IF(A19&gt;'Assumptions'!$B$30,INDEX(B$6:B$29,A19-'Assumptions'!$B$30),0)*'Assumptions'!$B$10</x:f>
        <x:v>1.5853022432031822</x:v>
      </x:c>
      <x:c r="H19" s="6" t="n">
        <x:f>F19*'Assumptions'!$B$9+G19*'Assumptions'!$B$11</x:f>
        <x:v>15.19036609437289</x:v>
      </x:c>
      <x:c r="I19" s="6" t="n">
        <x:f>H19-H19/(1+'Assumptions'!$B$12)</x:f>
        <x:v>2.5317276823954806</x:v>
      </x:c>
      <x:c r="J19" s="6" t="n">
        <x:f>(H19-I19)*'Assumptions'!$B$13</x:f>
        <x:v>0.3797591523593223</x:v>
      </x:c>
      <x:c r="K19" s="6" t="n">
        <x:f>(H19-I19-J19)*'Assumptions'!$B$14</x:f>
        <x:v>1.8418318889427132</x:v>
      </x:c>
      <x:c r="L19" s="6" t="n">
        <x:f>H19-SUM(I19:K19)</x:f>
        <x:v>10.437047370675375</x:v>
      </x:c>
      <x:c r="M19" s="6" t="n">
        <x:f>E19*'Assumptions'!$B$19*'Assumptions'!$B$17*'Assumptions'!$B$18/1000*'Assumptions'!$B$16</x:f>
        <x:v>0</x:v>
      </x:c>
      <x:c r="N19" s="6" t="n">
        <x:f>SUM(L19:M19)</x:f>
        <x:v>10.437047370675375</x:v>
      </x:c>
      <x:c r="O19" s="6" t="n">
        <x:f>'Assumptions'!$B$20+D19/1000*'Assumptions'!$B$21</x:f>
        <x:v>40.91653166085176</x:v>
      </x:c>
      <x:c r="P19" s="6" t="n">
        <x:f>'Assumptions'!$B$22</x:f>
        <x:v>10</x:v>
      </x:c>
      <x:c r="Q19" s="6" t="n">
        <x:f>'Assumptions'!$B$23</x:f>
        <x:v>0</x:v>
      </x:c>
      <x:c r="R19" s="6" t="n">
        <x:f>SUM(O19:Q19)</x:f>
        <x:v>50.91653166085176</x:v>
      </x:c>
      <x:c r="S19" s="6" t="n">
        <x:f>N19-R19</x:f>
        <x:v>-40.47948429017639</x:v>
      </x:c>
      <x:c r="T19" s="6" t="n">
        <x:f>IF(A19&gt;'Assumptions'!$B$31,INDEX(N$6:N$29,A19-'Assumptions'!$B$31),0)</x:f>
        <x:v>10.232399383015073</x:v>
      </x:c>
      <x:c r="U19" s="6" t="n">
        <x:f>'Assumptions'!$B$29-'Assumptions'!$B$27-'Assumptions'!$B$28+SUM(T$6:T19)-SUM(R$6:R19)</x:f>
        <x:v>-629.3377797265825</x:v>
      </x:c>
      <x:c r="V19" s="6" t="n">
        <x:f>'Assumptions'!$B$24*'Assumptions'!$B$25</x:f>
        <x:v>320</x:v>
      </x:c>
      <x:c r="W19" s="6" t="n">
        <x:f>SUM(S$6:S19)-SUM(V$6:V19)-'Assumptions'!$B$27-'Assumptions'!$B$28-'Assumptions'!$B$26*'Assumptions'!$B$25</x:f>
        <x:v>-45098.900732355905</x:v>
      </x:c>
    </x:row>
    <x:row r="20" ht="22" customHeight="1">
      <x:c r="A20" s="46" t="n">
        <x:f>15</x:f>
        <x:v>15</x:v>
      </x:c>
      <x:c r="B20" s="6" t="n">
        <x:f>B19*(1+'Assumptions'!$B$7)</x:f>
        <x:v>329.8696907657182</x:v>
      </x:c>
      <x:c r="C20" s="6" t="n">
        <x:f>SUM(B$6:B20)</x:f>
        <x:v>4323.354229051621</x:v>
      </x:c>
      <x:c r="D20" s="6" t="n">
        <x:f>B20*'Retention'!B6+B19*'Retention'!B7+B18*'Retention'!B8+B17*'Retention'!B9+B16*'Retention'!B10+B15*'Retention'!B11+B14*'Retention'!B12+B13*'Retention'!B13+B12*'Retention'!B14+B11*'Retention'!B15+B10*'Retention'!B16+B9*'Retention'!B17+B8*'Retention'!B18+B7*'Retention'!B19+B6*'Retention'!B20</x:f>
        <x:v>474.5411481878518</x:v>
      </x:c>
      <x:c r="E20" s="6" t="n">
        <x:f>D20*'Assumptions'!$B$15</x:f>
        <x:v>71.18117222817776</x:v>
      </x:c>
      <x:c r="F20" s="6" t="n">
        <x:f>IF(A20&gt;'Assumptions'!$B$30,INDEX(B$6:B$29,A20-'Assumptions'!$B$30),0)*'Assumptions'!$B$8</x:f>
        <x:v>1.2936066304537968</x:v>
      </x:c>
      <x:c r="G20" s="6" t="n">
        <x:f>IF(A20&gt;'Assumptions'!$B$30,INDEX(B$6:B$29,A20-'Assumptions'!$B$30),0)*'Assumptions'!$B$10</x:f>
        <x:v>1.6170082880672458</x:v>
      </x:c>
      <x:c r="H20" s="6" t="n">
        <x:f>F20*'Assumptions'!$B$9+G20*'Assumptions'!$B$11</x:f>
        <x:v>15.49417341626035</x:v>
      </x:c>
      <x:c r="I20" s="6" t="n">
        <x:f>H20-H20/(1+'Assumptions'!$B$12)</x:f>
        <x:v>2.582362236043391</x:v>
      </x:c>
      <x:c r="J20" s="6" t="n">
        <x:f>(H20-I20)*'Assumptions'!$B$13</x:f>
        <x:v>0.38735433540650877</x:v>
      </x:c>
      <x:c r="K20" s="6" t="n">
        <x:f>(H20-I20-J20)*'Assumptions'!$B$14</x:f>
        <x:v>1.8786685267215677</x:v>
      </x:c>
      <x:c r="L20" s="6" t="n">
        <x:f>H20-SUM(I20:K20)</x:f>
        <x:v>10.645788318088883</x:v>
      </x:c>
      <x:c r="M20" s="6" t="n">
        <x:f>E20*'Assumptions'!$B$19*'Assumptions'!$B$17*'Assumptions'!$B$18/1000*'Assumptions'!$B$16</x:f>
        <x:v>0</x:v>
      </x:c>
      <x:c r="N20" s="6" t="n">
        <x:f>SUM(L20:M20)</x:f>
        <x:v>10.645788318088883</x:v>
      </x:c>
      <x:c r="O20" s="6" t="n">
        <x:f>'Assumptions'!$B$20+D20/1000*'Assumptions'!$B$21</x:f>
        <x:v>40.94908229637571</x:v>
      </x:c>
      <x:c r="P20" s="6" t="n">
        <x:f>'Assumptions'!$B$22</x:f>
        <x:v>10</x:v>
      </x:c>
      <x:c r="Q20" s="6" t="n">
        <x:f>'Assumptions'!$B$23</x:f>
        <x:v>0</x:v>
      </x:c>
      <x:c r="R20" s="6" t="n">
        <x:f>SUM(O20:Q20)</x:f>
        <x:v>50.94908229637571</x:v>
      </x:c>
      <x:c r="S20" s="6" t="n">
        <x:f>N20-R20</x:f>
        <x:v>-40.303293978286824</x:v>
      </x:c>
      <x:c r="T20" s="6" t="n">
        <x:f>IF(A20&gt;'Assumptions'!$B$31,INDEX(N$6:N$29,A20-'Assumptions'!$B$31),0)</x:f>
        <x:v>10.437047370675375</x:v>
      </x:c>
      <x:c r="U20" s="6" t="n">
        <x:f>'Assumptions'!$B$29-'Assumptions'!$B$27-'Assumptions'!$B$28+SUM(T$6:T20)-SUM(R$6:R20)</x:f>
        <x:v>-669.8498146522828</x:v>
      </x:c>
      <x:c r="V20" s="6" t="n">
        <x:f>'Assumptions'!$B$24*'Assumptions'!$B$25</x:f>
        <x:v>320</x:v>
      </x:c>
      <x:c r="W20" s="6" t="n">
        <x:f>SUM(S$6:S20)-SUM(V$6:V20)-'Assumptions'!$B$27-'Assumptions'!$B$28-'Assumptions'!$B$26*'Assumptions'!$B$25</x:f>
        <x:v>-45459.20402633419</x:v>
      </x:c>
    </x:row>
    <x:row r="21" ht="22" customHeight="1">
      <x:c r="A21" s="46" t="n">
        <x:f>16</x:f>
        <x:v>16</x:v>
      </x:c>
      <x:c r="B21" s="6" t="n">
        <x:f>B20*(1+'Assumptions'!$B$7)</x:f>
        <x:v>336.46708458103257</x:v>
      </x:c>
      <x:c r="C21" s="6" t="n">
        <x:f>SUM(B$6:B21)</x:f>
        <x:v>4659.821313632653</x:v>
      </x:c>
      <x:c r="D21" s="6" t="n">
        <x:f>B21*'Retention'!B6+B20*'Retention'!B7+B19*'Retention'!B8+B18*'Retention'!B9+B17*'Retention'!B10+B16*'Retention'!B11+B15*'Retention'!B12+B14*'Retention'!B13+B13*'Retention'!B14+B12*'Retention'!B15+B11*'Retention'!B16+B10*'Retention'!B17+B9*'Retention'!B18+B8*'Retention'!B19+B7*'Retention'!B20+B6*'Retention'!B21</x:f>
        <x:v>490.7864722473919</x:v>
      </x:c>
      <x:c r="E21" s="6" t="n">
        <x:f>D21*'Assumptions'!$B$15</x:f>
        <x:v>73.61797083710879</x:v>
      </x:c>
      <x:c r="F21" s="6" t="n">
        <x:f>IF(A21&gt;'Assumptions'!$B$30,INDEX(B$6:B$29,A21-'Assumptions'!$B$30),0)*'Assumptions'!$B$8</x:f>
        <x:v>1.3194787630628728</x:v>
      </x:c>
      <x:c r="G21" s="6" t="n">
        <x:f>IF(A21&gt;'Assumptions'!$B$30,INDEX(B$6:B$29,A21-'Assumptions'!$B$30),0)*'Assumptions'!$B$10</x:f>
        <x:v>1.649348453828591</x:v>
      </x:c>
      <x:c r="H21" s="6" t="n">
        <x:f>F21*'Assumptions'!$B$9+G21*'Assumptions'!$B$11</x:f>
        <x:v>15.80405688458556</x:v>
      </x:c>
      <x:c r="I21" s="6" t="n">
        <x:f>H21-H21/(1+'Assumptions'!$B$12)</x:f>
        <x:v>2.6340094807642593</x:v>
      </x:c>
      <x:c r="J21" s="6" t="n">
        <x:f>(H21-I21)*'Assumptions'!$B$13</x:f>
        <x:v>0.395101422114639</x:v>
      </x:c>
      <x:c r="K21" s="6" t="n">
        <x:f>(H21-I21-J21)*'Assumptions'!$B$14</x:f>
        <x:v>1.9162418972559991</x:v>
      </x:c>
      <x:c r="L21" s="6" t="n">
        <x:f>H21-SUM(I21:K21)</x:f>
        <x:v>10.858704084450661</x:v>
      </x:c>
      <x:c r="M21" s="6" t="n">
        <x:f>E21*'Assumptions'!$B$19*'Assumptions'!$B$17*'Assumptions'!$B$18/1000*'Assumptions'!$B$16</x:f>
        <x:v>0</x:v>
      </x:c>
      <x:c r="N21" s="6" t="n">
        <x:f>SUM(L21:M21)</x:f>
        <x:v>10.858704084450661</x:v>
      </x:c>
      <x:c r="O21" s="6" t="n">
        <x:f>'Assumptions'!$B$20+D21/1000*'Assumptions'!$B$21</x:f>
        <x:v>40.981572944494786</x:v>
      </x:c>
      <x:c r="P21" s="6" t="n">
        <x:f>'Assumptions'!$B$22</x:f>
        <x:v>10</x:v>
      </x:c>
      <x:c r="Q21" s="6" t="n">
        <x:f>'Assumptions'!$B$23</x:f>
        <x:v>0</x:v>
      </x:c>
      <x:c r="R21" s="6" t="n">
        <x:f>SUM(O21:Q21)</x:f>
        <x:v>50.981572944494786</x:v>
      </x:c>
      <x:c r="S21" s="6" t="n">
        <x:f>N21-R21</x:f>
        <x:v>-40.12286886004412</x:v>
      </x:c>
      <x:c r="T21" s="6" t="n">
        <x:f>IF(A21&gt;'Assumptions'!$B$31,INDEX(N$6:N$29,A21-'Assumptions'!$B$31),0)</x:f>
        <x:v>10.645788318088883</x:v>
      </x:c>
      <x:c r="U21" s="6" t="n">
        <x:f>'Assumptions'!$B$29-'Assumptions'!$B$27-'Assumptions'!$B$28+SUM(T$6:T21)-SUM(R$6:R21)</x:f>
        <x:v>-710.1855992786888</x:v>
      </x:c>
      <x:c r="V21" s="6" t="n">
        <x:f>'Assumptions'!$B$24*'Assumptions'!$B$25</x:f>
        <x:v>320</x:v>
      </x:c>
      <x:c r="W21" s="6" t="n">
        <x:f>SUM(S$6:S21)-SUM(V$6:V21)-'Assumptions'!$B$27-'Assumptions'!$B$28-'Assumptions'!$B$26*'Assumptions'!$B$25</x:f>
        <x:v>-45819.32689519424</x:v>
      </x:c>
    </x:row>
    <x:row r="22" ht="22" customHeight="1">
      <x:c r="A22" s="46" t="n">
        <x:f>17</x:f>
        <x:v>17</x:v>
      </x:c>
      <x:c r="B22" s="6" t="n">
        <x:f>B21*(1+'Assumptions'!$B$7)</x:f>
        <x:v>343.19642627265324</x:v>
      </x:c>
      <x:c r="C22" s="6" t="n">
        <x:f>SUM(B$6:B22)</x:f>
        <x:v>5003.017739905306</x:v>
      </x:c>
      <x:c r="D22" s="6" t="n">
        <x:f>B22*'Retention'!B6+B21*'Retention'!B7+B20*'Retention'!B8+B19*'Retention'!B9+B18*'Retention'!B10+B17*'Retention'!B11+B16*'Retention'!B12+B15*'Retention'!B13+B14*'Retention'!B14+B13*'Retention'!B15+B12*'Retention'!B16+B11*'Retention'!B17+B10*'Retention'!B18+B9*'Retention'!B19+B8*'Retention'!B20+B7*'Retention'!B21+B6*'Retention'!B22</x:f>
        <x:v>507.0189777333334</x:v>
      </x:c>
      <x:c r="E22" s="6" t="n">
        <x:f>D22*'Assumptions'!$B$15</x:f>
        <x:v>76.05284666</x:v>
      </x:c>
      <x:c r="F22" s="6" t="n">
        <x:f>IF(A22&gt;'Assumptions'!$B$30,INDEX(B$6:B$29,A22-'Assumptions'!$B$30),0)*'Assumptions'!$B$8</x:f>
        <x:v>1.3458683383241303</x:v>
      </x:c>
      <x:c r="G22" s="6" t="n">
        <x:f>IF(A22&gt;'Assumptions'!$B$30,INDEX(B$6:B$29,A22-'Assumptions'!$B$30),0)*'Assumptions'!$B$10</x:f>
        <x:v>1.6823354229051628</x:v>
      </x:c>
      <x:c r="H22" s="6" t="n">
        <x:f>F22*'Assumptions'!$B$9+G22*'Assumptions'!$B$11</x:f>
        <x:v>16.120138022277274</x:v>
      </x:c>
      <x:c r="I22" s="6" t="n">
        <x:f>H22-H22/(1+'Assumptions'!$B$12)</x:f>
        <x:v>2.686689670379545</x:v>
      </x:c>
      <x:c r="J22" s="6" t="n">
        <x:f>(H22-I22)*'Assumptions'!$B$13</x:f>
        <x:v>0.4030034505569319</x:v>
      </x:c>
      <x:c r="K22" s="6" t="n">
        <x:f>(H22-I22-J22)*'Assumptions'!$B$14</x:f>
        <x:v>1.9545667352011193</x:v>
      </x:c>
      <x:c r="L22" s="6" t="n">
        <x:f>H22-SUM(I22:K22)</x:f>
        <x:v>11.075878166139677</x:v>
      </x:c>
      <x:c r="M22" s="6" t="n">
        <x:f>E22*'Assumptions'!$B$19*'Assumptions'!$B$17*'Assumptions'!$B$18/1000*'Assumptions'!$B$16</x:f>
        <x:v>0</x:v>
      </x:c>
      <x:c r="N22" s="6" t="n">
        <x:f>SUM(L22:M22)</x:f>
        <x:v>11.075878166139677</x:v>
      </x:c>
      <x:c r="O22" s="6" t="n">
        <x:f>'Assumptions'!$B$20+D22/1000*'Assumptions'!$B$21</x:f>
        <x:v>41.01403795546667</x:v>
      </x:c>
      <x:c r="P22" s="6" t="n">
        <x:f>'Assumptions'!$B$22</x:f>
        <x:v>10</x:v>
      </x:c>
      <x:c r="Q22" s="6" t="n">
        <x:f>'Assumptions'!$B$23</x:f>
        <x:v>0</x:v>
      </x:c>
      <x:c r="R22" s="6" t="n">
        <x:f>SUM(O22:Q22)</x:f>
        <x:v>51.01403795546667</x:v>
      </x:c>
      <x:c r="S22" s="6" t="n">
        <x:f>N22-R22</x:f>
        <x:v>-39.93815978932699</x:v>
      </x:c>
      <x:c r="T22" s="6" t="n">
        <x:f>IF(A22&gt;'Assumptions'!$B$31,INDEX(N$6:N$29,A22-'Assumptions'!$B$31),0)</x:f>
        <x:v>10.858704084450661</x:v>
      </x:c>
      <x:c r="U22" s="6" t="n">
        <x:f>'Assumptions'!$B$29-'Assumptions'!$B$27-'Assumptions'!$B$28+SUM(T$6:T22)-SUM(R$6:R22)</x:f>
        <x:v>-750.3409331497047</x:v>
      </x:c>
      <x:c r="V22" s="6" t="n">
        <x:f>'Assumptions'!$B$24*'Assumptions'!$B$25</x:f>
        <x:v>320</x:v>
      </x:c>
      <x:c r="W22" s="6" t="n">
        <x:f>SUM(S$6:S22)-SUM(V$6:V22)-'Assumptions'!$B$27-'Assumptions'!$B$28-'Assumptions'!$B$26*'Assumptions'!$B$25</x:f>
        <x:v>-46179.26505498357</x:v>
      </x:c>
    </x:row>
    <x:row r="23" ht="22" customHeight="1">
      <x:c r="A23" s="46" t="n">
        <x:f>18</x:f>
        <x:v>18</x:v>
      </x:c>
      <x:c r="B23" s="6" t="n">
        <x:f>B22*(1+'Assumptions'!$B$7)</x:f>
        <x:v>350.0603547981063</x:v>
      </x:c>
      <x:c r="C23" s="6" t="n">
        <x:f>SUM(B$6:B23)</x:f>
        <x:v>5353.078094703413</x:v>
      </x:c>
      <x:c r="D23" s="6" t="n">
        <x:f>B23*'Retention'!B6+B22*'Retention'!B7+B21*'Retention'!B8+B20*'Retention'!B9+B19*'Retention'!B10+B18*'Retention'!B11+B17*'Retention'!B12+B16*'Retention'!B13+B15*'Retention'!B14+B14*'Retention'!B15+B13*'Retention'!B16+B12*'Retention'!B17+B11*'Retention'!B18+B10*'Retention'!B19+B9*'Retention'!B20+B8*'Retention'!B21+B7*'Retention'!B22+B6*'Retention'!B23</x:f>
        <x:v>523.2552945269441</x:v>
      </x:c>
      <x:c r="E23" s="6" t="n">
        <x:f>D23*'Assumptions'!$B$15</x:f>
        <x:v>78.48829417904162</x:v>
      </x:c>
      <x:c r="F23" s="6" t="n">
        <x:f>IF(A23&gt;'Assumptions'!$B$30,INDEX(B$6:B$29,A23-'Assumptions'!$B$30),0)*'Assumptions'!$B$8</x:f>
        <x:v>1.372785705090613</x:v>
      </x:c>
      <x:c r="G23" s="6" t="n">
        <x:f>IF(A23&gt;'Assumptions'!$B$30,INDEX(B$6:B$29,A23-'Assumptions'!$B$30),0)*'Assumptions'!$B$10</x:f>
        <x:v>1.7159821313632662</x:v>
      </x:c>
      <x:c r="H23" s="6" t="n">
        <x:f>F23*'Assumptions'!$B$9+G23*'Assumptions'!$B$11</x:f>
        <x:v>16.442540782722816</x:v>
      </x:c>
      <x:c r="I23" s="6" t="n">
        <x:f>H23-H23/(1+'Assumptions'!$B$12)</x:f>
        <x:v>2.7404234637871348</x:v>
      </x:c>
      <x:c r="J23" s="6" t="n">
        <x:f>(H23-I23)*'Assumptions'!$B$13</x:f>
        <x:v>0.4110635195680704</x:v>
      </x:c>
      <x:c r="K23" s="6" t="n">
        <x:f>(H23-I23-J23)*'Assumptions'!$B$14</x:f>
        <x:v>1.9936580699051414</x:v>
      </x:c>
      <x:c r="L23" s="6" t="n">
        <x:f>H23-SUM(I23:K23)</x:f>
        <x:v>11.297395729462469</x:v>
      </x:c>
      <x:c r="M23" s="6" t="n">
        <x:f>E23*'Assumptions'!$B$19*'Assumptions'!$B$17*'Assumptions'!$B$18/1000*'Assumptions'!$B$16</x:f>
        <x:v>0</x:v>
      </x:c>
      <x:c r="N23" s="6" t="n">
        <x:f>SUM(L23:M23)</x:f>
        <x:v>11.297395729462469</x:v>
      </x:c>
      <x:c r="O23" s="6" t="n">
        <x:f>'Assumptions'!$B$20+D23/1000*'Assumptions'!$B$21</x:f>
        <x:v>41.04651058905389</x:v>
      </x:c>
      <x:c r="P23" s="6" t="n">
        <x:f>'Assumptions'!$B$22</x:f>
        <x:v>10</x:v>
      </x:c>
      <x:c r="Q23" s="6" t="n">
        <x:f>'Assumptions'!$B$23</x:f>
        <x:v>0</x:v>
      </x:c>
      <x:c r="R23" s="6" t="n">
        <x:f>SUM(O23:Q23)</x:f>
        <x:v>51.04651058905389</x:v>
      </x:c>
      <x:c r="S23" s="6" t="n">
        <x:f>N23-R23</x:f>
        <x:v>-39.749114859591415</x:v>
      </x:c>
      <x:c r="T23" s="6" t="n">
        <x:f>IF(A23&gt;'Assumptions'!$B$31,INDEX(N$6:N$29,A23-'Assumptions'!$B$31),0)</x:f>
        <x:v>11.075878166139677</x:v>
      </x:c>
      <x:c r="U23" s="6" t="n">
        <x:f>'Assumptions'!$B$29-'Assumptions'!$B$27-'Assumptions'!$B$28+SUM(T$6:T23)-SUM(R$6:R23)</x:f>
        <x:v>-790.311565572619</x:v>
      </x:c>
      <x:c r="V23" s="6" t="n">
        <x:f>'Assumptions'!$B$24*'Assumptions'!$B$25</x:f>
        <x:v>320</x:v>
      </x:c>
      <x:c r="W23" s="6" t="n">
        <x:f>SUM(S$6:S23)-SUM(V$6:V23)-'Assumptions'!$B$27-'Assumptions'!$B$28-'Assumptions'!$B$26*'Assumptions'!$B$25</x:f>
        <x:v>-46539.014169843154</x:v>
      </x:c>
    </x:row>
    <x:row r="24" ht="22" customHeight="1">
      <x:c r="A24" s="46" t="n">
        <x:f>19</x:f>
        <x:v>19</x:v>
      </x:c>
      <x:c r="B24" s="6" t="n">
        <x:f>B23*(1+'Assumptions'!$B$7)</x:f>
        <x:v>357.0615618940684</x:v>
      </x:c>
      <x:c r="C24" s="6" t="n">
        <x:f>SUM(B$6:B24)</x:f>
        <x:v>5710.139656597481</x:v>
      </x:c>
      <x:c r="D24" s="6" t="n">
        <x:f>B24*'Retention'!B6+B23*'Retention'!B7+B22*'Retention'!B8+B21*'Retention'!B9+B20*'Retention'!B10+B19*'Retention'!B11+B18*'Retention'!B12+B17*'Retention'!B13+B16*'Retention'!B14+B15*'Retention'!B15+B14*'Retention'!B16+B13*'Retention'!B17+B12*'Retention'!B18+B11*'Retention'!B19+B10*'Retention'!B20+B9*'Retention'!B21+B8*'Retention'!B22+B7*'Retention'!B23+B6*'Retention'!B24</x:f>
        <x:v>539.51154079448</x:v>
      </x:c>
      <x:c r="E24" s="6" t="n">
        <x:f>D24*'Assumptions'!$B$15</x:f>
        <x:v>80.92673111917199</x:v>
      </x:c>
      <x:c r="F24" s="6" t="n">
        <x:f>IF(A24&gt;'Assumptions'!$B$30,INDEX(B$6:B$29,A24-'Assumptions'!$B$30),0)*'Assumptions'!$B$8</x:f>
        <x:v>1.4002414191924253</x:v>
      </x:c>
      <x:c r="G24" s="6" t="n">
        <x:f>IF(A24&gt;'Assumptions'!$B$30,INDEX(B$6:B$29,A24-'Assumptions'!$B$30),0)*'Assumptions'!$B$10</x:f>
        <x:v>1.7503017739905316</x:v>
      </x:c>
      <x:c r="H24" s="6" t="n">
        <x:f>F24*'Assumptions'!$B$9+G24*'Assumptions'!$B$11</x:f>
        <x:v>16.771391598377274</x:v>
      </x:c>
      <x:c r="I24" s="6" t="n">
        <x:f>H24-H24/(1+'Assumptions'!$B$12)</x:f>
        <x:v>2.795231933062878</x:v>
      </x:c>
      <x:c r="J24" s="6" t="n">
        <x:f>(H24-I24)*'Assumptions'!$B$13</x:f>
        <x:v>0.41928478995943186</x:v>
      </x:c>
      <x:c r="K24" s="6" t="n">
        <x:f>(H24-I24-J24)*'Assumptions'!$B$14</x:f>
        <x:v>2.0335312313032445</x:v>
      </x:c>
      <x:c r="L24" s="6" t="n">
        <x:f>H24-SUM(I24:K24)</x:f>
        <x:v>11.523343644051721</x:v>
      </x:c>
      <x:c r="M24" s="6" t="n">
        <x:f>E24*'Assumptions'!$B$19*'Assumptions'!$B$17*'Assumptions'!$B$18/1000*'Assumptions'!$B$16</x:f>
        <x:v>0</x:v>
      </x:c>
      <x:c r="N24" s="6" t="n">
        <x:f>SUM(L24:M24)</x:f>
        <x:v>11.523343644051721</x:v>
      </x:c>
      <x:c r="O24" s="6" t="n">
        <x:f>'Assumptions'!$B$20+D24/1000*'Assumptions'!$B$21</x:f>
        <x:v>41.07902308158896</x:v>
      </x:c>
      <x:c r="P24" s="6" t="n">
        <x:f>'Assumptions'!$B$22</x:f>
        <x:v>10</x:v>
      </x:c>
      <x:c r="Q24" s="6" t="n">
        <x:f>'Assumptions'!$B$23</x:f>
        <x:v>0</x:v>
      </x:c>
      <x:c r="R24" s="6" t="n">
        <x:f>SUM(O24:Q24)</x:f>
        <x:v>51.07902308158896</x:v>
      </x:c>
      <x:c r="S24" s="6" t="n">
        <x:f>N24-R24</x:f>
        <x:v>-39.555679437537236</x:v>
      </x:c>
      <x:c r="T24" s="6" t="n">
        <x:f>IF(A24&gt;'Assumptions'!$B$31,INDEX(N$6:N$29,A24-'Assumptions'!$B$31),0)</x:f>
        <x:v>11.297395729462469</x:v>
      </x:c>
      <x:c r="U24" s="6" t="n">
        <x:f>'Assumptions'!$B$29-'Assumptions'!$B$27-'Assumptions'!$B$28+SUM(T$6:T24)-SUM(R$6:R24)</x:f>
        <x:v>-830.0931929247454</x:v>
      </x:c>
      <x:c r="V24" s="6" t="n">
        <x:f>'Assumptions'!$B$24*'Assumptions'!$B$25</x:f>
        <x:v>320</x:v>
      </x:c>
      <x:c r="W24" s="6" t="n">
        <x:f>SUM(S$6:S24)-SUM(V$6:V24)-'Assumptions'!$B$27-'Assumptions'!$B$28-'Assumptions'!$B$26*'Assumptions'!$B$25</x:f>
        <x:v>-46898.56984928069</x:v>
      </x:c>
    </x:row>
    <x:row r="25" ht="22" customHeight="1">
      <x:c r="A25" s="46" t="n">
        <x:f>20</x:f>
        <x:v>20</x:v>
      </x:c>
      <x:c r="B25" s="6" t="n">
        <x:f>B24*(1+'Assumptions'!$B$7)</x:f>
        <x:v>364.20279313194976</x:v>
      </x:c>
      <x:c r="C25" s="6" t="n">
        <x:f>SUM(B$6:B25)</x:f>
        <x:v>6074.342449729431</x:v>
      </x:c>
      <x:c r="D25" s="6" t="n">
        <x:f>B25*'Retention'!B6+B24*'Retention'!B7+B23*'Retention'!B8+B22*'Retention'!B9+B21*'Retention'!B10+B20*'Retention'!B11+B19*'Retention'!B12+B18*'Retention'!B13+B17*'Retention'!B14+B16*'Retention'!B15+B15*'Retention'!B16+B14*'Retention'!B17+B13*'Retention'!B18+B12*'Retention'!B19+B11*'Retention'!B20+B10*'Retention'!B21+B9*'Retention'!B22+B8*'Retention'!B23+B7*'Retention'!B24+B6*'Retention'!B25</x:f>
        <x:v>555.8033549685167</x:v>
      </x:c>
      <x:c r="E25" s="6" t="n">
        <x:f>D25*'Assumptions'!$B$15</x:f>
        <x:v>83.3705032452775</x:v>
      </x:c>
      <x:c r="F25" s="6" t="n">
        <x:f>IF(A25&gt;'Assumptions'!$B$30,INDEX(B$6:B$29,A25-'Assumptions'!$B$30),0)*'Assumptions'!$B$8</x:f>
        <x:v>1.4282462475762736</x:v>
      </x:c>
      <x:c r="G25" s="6" t="n">
        <x:f>IF(A25&gt;'Assumptions'!$B$30,INDEX(B$6:B$29,A25-'Assumptions'!$B$30),0)*'Assumptions'!$B$10</x:f>
        <x:v>1.785307809470342</x:v>
      </x:c>
      <x:c r="H25" s="6" t="n">
        <x:f>F25*'Assumptions'!$B$9+G25*'Assumptions'!$B$11</x:f>
        <x:v>17.106819430344817</x:v>
      </x:c>
      <x:c r="I25" s="6" t="n">
        <x:f>H25-H25/(1+'Assumptions'!$B$12)</x:f>
        <x:v>2.851136571724135</x:v>
      </x:c>
      <x:c r="J25" s="6" t="n">
        <x:f>(H25-I25)*'Assumptions'!$B$13</x:f>
        <x:v>0.42767048575862043</x:v>
      </x:c>
      <x:c r="K25" s="6" t="n">
        <x:f>(H25-I25-J25)*'Assumptions'!$B$14</x:f>
        <x:v>2.074201855929309</x:v>
      </x:c>
      <x:c r="L25" s="6" t="n">
        <x:f>H25-SUM(I25:K25)</x:f>
        <x:v>11.753810516932752</x:v>
      </x:c>
      <x:c r="M25" s="6" t="n">
        <x:f>E25*'Assumptions'!$B$19*'Assumptions'!$B$17*'Assumptions'!$B$18/1000*'Assumptions'!$B$16</x:f>
        <x:v>0</x:v>
      </x:c>
      <x:c r="N25" s="6" t="n">
        <x:f>SUM(L25:M25)</x:f>
        <x:v>11.753810516932752</x:v>
      </x:c>
      <x:c r="O25" s="6" t="n">
        <x:f>'Assumptions'!$B$20+D25/1000*'Assumptions'!$B$21</x:f>
        <x:v>41.111606709937035</x:v>
      </x:c>
      <x:c r="P25" s="6" t="n">
        <x:f>'Assumptions'!$B$22</x:f>
        <x:v>10</x:v>
      </x:c>
      <x:c r="Q25" s="6" t="n">
        <x:f>'Assumptions'!$B$23</x:f>
        <x:v>0</x:v>
      </x:c>
      <x:c r="R25" s="6" t="n">
        <x:f>SUM(O25:Q25)</x:f>
        <x:v>51.111606709937035</x:v>
      </x:c>
      <x:c r="S25" s="6" t="n">
        <x:f>N25-R25</x:f>
        <x:v>-39.35779619300428</x:v>
      </x:c>
      <x:c r="T25" s="6" t="n">
        <x:f>IF(A25&gt;'Assumptions'!$B$31,INDEX(N$6:N$29,A25-'Assumptions'!$B$31),0)</x:f>
        <x:v>11.523343644051721</x:v>
      </x:c>
      <x:c r="U25" s="6" t="n">
        <x:f>'Assumptions'!$B$29-'Assumptions'!$B$27-'Assumptions'!$B$28+SUM(T$6:T25)-SUM(R$6:R25)</x:f>
        <x:v>-869.6814559906308</x:v>
      </x:c>
      <x:c r="V25" s="6" t="n">
        <x:f>'Assumptions'!$B$24*'Assumptions'!$B$25</x:f>
        <x:v>320</x:v>
      </x:c>
      <x:c r="W25" s="6" t="n">
        <x:f>SUM(S$6:S25)-SUM(V$6:V25)-'Assumptions'!$B$27-'Assumptions'!$B$28-'Assumptions'!$B$26*'Assumptions'!$B$25</x:f>
        <x:v>-47257.9276454737</x:v>
      </x:c>
    </x:row>
    <x:row r="26" ht="22" customHeight="1">
      <x:c r="A26" s="46" t="n">
        <x:f>21</x:f>
        <x:v>21</x:v>
      </x:c>
      <x:c r="B26" s="6" t="n">
        <x:f>B25*(1+'Assumptions'!$B$7)</x:f>
        <x:v>371.48684899458874</x:v>
      </x:c>
      <x:c r="C26" s="6" t="n">
        <x:f>SUM(B$6:B26)</x:f>
        <x:v>6445.829298724019</x:v>
      </x:c>
      <x:c r="D26" s="6" t="n">
        <x:f>B26*'Retention'!B6+B25*'Retention'!B7+B24*'Retention'!B8+B23*'Retention'!B9+B22*'Retention'!B10+B21*'Retention'!B11+B20*'Retention'!B12+B19*'Retention'!B13+B18*'Retention'!B14+B17*'Retention'!B15+B16*'Retention'!B16+B15*'Retention'!B17+B14*'Retention'!B18+B13*'Retention'!B19+B12*'Retention'!B20+B11*'Retention'!B21+B10*'Retention'!B22+B9*'Retention'!B23+B8*'Retention'!B24+B7*'Retention'!B25+B6*'Retention'!B26</x:f>
        <x:v>572.1459262581267</x:v>
      </x:c>
      <x:c r="E26" s="6" t="n">
        <x:f>D26*'Assumptions'!$B$15</x:f>
        <x:v>85.821888938719</x:v>
      </x:c>
      <x:c r="F26" s="6" t="n">
        <x:f>IF(A26&gt;'Assumptions'!$B$30,INDEX(B$6:B$29,A26-'Assumptions'!$B$30),0)*'Assumptions'!$B$8</x:f>
        <x:v>1.456811172527799</x:v>
      </x:c>
      <x:c r="G26" s="6" t="n">
        <x:f>IF(A26&gt;'Assumptions'!$B$30,INDEX(B$6:B$29,A26-'Assumptions'!$B$30),0)*'Assumptions'!$B$10</x:f>
        <x:v>1.8210139656597488</x:v>
      </x:c>
      <x:c r="H26" s="6" t="n">
        <x:f>F26*'Assumptions'!$B$9+G26*'Assumptions'!$B$11</x:f>
        <x:v>17.448955818951713</x:v>
      </x:c>
      <x:c r="I26" s="6" t="n">
        <x:f>H26-H26/(1+'Assumptions'!$B$12)</x:f>
        <x:v>2.9081593031586177</x:v>
      </x:c>
      <x:c r="J26" s="6" t="n">
        <x:f>(H26-I26)*'Assumptions'!$B$13</x:f>
        <x:v>0.43622389547379287</x:v>
      </x:c>
      <x:c r="K26" s="6" t="n">
        <x:f>(H26-I26-J26)*'Assumptions'!$B$14</x:f>
        <x:v>2.1156858930478952</x:v>
      </x:c>
      <x:c r="L26" s="6" t="n">
        <x:f>H26-SUM(I26:K26)</x:f>
        <x:v>11.988886727271407</x:v>
      </x:c>
      <x:c r="M26" s="6" t="n">
        <x:f>E26*'Assumptions'!$B$19*'Assumptions'!$B$17*'Assumptions'!$B$18/1000*'Assumptions'!$B$16</x:f>
        <x:v>0</x:v>
      </x:c>
      <x:c r="N26" s="6" t="n">
        <x:f>SUM(L26:M26)</x:f>
        <x:v>11.988886727271407</x:v>
      </x:c>
      <x:c r="O26" s="6" t="n">
        <x:f>'Assumptions'!$B$20+D26/1000*'Assumptions'!$B$21</x:f>
        <x:v>41.144291852516254</x:v>
      </x:c>
      <x:c r="P26" s="6" t="n">
        <x:f>'Assumptions'!$B$22</x:f>
        <x:v>10</x:v>
      </x:c>
      <x:c r="Q26" s="6" t="n">
        <x:f>'Assumptions'!$B$23</x:f>
        <x:v>0</x:v>
      </x:c>
      <x:c r="R26" s="6" t="n">
        <x:f>SUM(O26:Q26)</x:f>
        <x:v>51.144291852516254</x:v>
      </x:c>
      <x:c r="S26" s="6" t="n">
        <x:f>N26-R26</x:f>
        <x:v>-39.15540512524485</x:v>
      </x:c>
      <x:c r="T26" s="6" t="n">
        <x:f>IF(A26&gt;'Assumptions'!$B$31,INDEX(N$6:N$29,A26-'Assumptions'!$B$31),0)</x:f>
        <x:v>11.753810516932752</x:v>
      </x:c>
      <x:c r="U26" s="6" t="n">
        <x:f>'Assumptions'!$B$29-'Assumptions'!$B$27-'Assumptions'!$B$28+SUM(T$6:T26)-SUM(R$6:R26)</x:f>
        <x:v>-909.0719373262143</x:v>
      </x:c>
      <x:c r="V26" s="6" t="n">
        <x:f>'Assumptions'!$B$24*'Assumptions'!$B$25</x:f>
        <x:v>320</x:v>
      </x:c>
      <x:c r="W26" s="6" t="n">
        <x:f>SUM(S$6:S26)-SUM(V$6:V26)-'Assumptions'!$B$27-'Assumptions'!$B$28-'Assumptions'!$B$26*'Assumptions'!$B$25</x:f>
        <x:v>-47617.08305059894</x:v>
      </x:c>
    </x:row>
    <x:row r="27" ht="22" customHeight="1">
      <x:c r="A27" s="46" t="n">
        <x:f>22</x:f>
        <x:v>22</x:v>
      </x:c>
      <x:c r="B27" s="6" t="n">
        <x:f>B26*(1+'Assumptions'!$B$7)</x:f>
        <x:v>378.91658597448054</x:v>
      </x:c>
      <x:c r="C27" s="6" t="n">
        <x:f>SUM(B$6:B27)</x:f>
        <x:v>6824.7458846985</x:v>
      </x:c>
      <x:c r="D27" s="6" t="n">
        <x:f>B27*'Retention'!B6+B26*'Retention'!B7+B25*'Retention'!B8+B24*'Retention'!B9+B23*'Retention'!B10+B22*'Retention'!B11+B21*'Retention'!B12+B20*'Retention'!B13+B19*'Retention'!B14+B18*'Retention'!B15+B17*'Retention'!B16+B16*'Retention'!B17+B15*'Retention'!B18+B14*'Retention'!B19+B13*'Retention'!B20+B12*'Retention'!B21+B11*'Retention'!B22+B10*'Retention'!B23+B9*'Retention'!B24+B8*'Retention'!B25+B7*'Retention'!B26+B6*'Retention'!B27</x:f>
        <x:v>588.554023764017</x:v>
      </x:c>
      <x:c r="E27" s="6" t="n">
        <x:f>D27*'Assumptions'!$B$15</x:f>
        <x:v>88.28310356460254</x:v>
      </x:c>
      <x:c r="F27" s="6" t="n">
        <x:f>IF(A27&gt;'Assumptions'!$B$30,INDEX(B$6:B$29,A27-'Assumptions'!$B$30),0)*'Assumptions'!$B$8</x:f>
        <x:v>1.485947395978355</x:v>
      </x:c>
      <x:c r="G27" s="6" t="n">
        <x:f>IF(A27&gt;'Assumptions'!$B$30,INDEX(B$6:B$29,A27-'Assumptions'!$B$30),0)*'Assumptions'!$B$10</x:f>
        <x:v>1.8574342449729437</x:v>
      </x:c>
      <x:c r="H27" s="6" t="n">
        <x:f>F27*'Assumptions'!$B$9+G27*'Assumptions'!$B$11</x:f>
        <x:v>17.797934935330748</x:v>
      </x:c>
      <x:c r="I27" s="6" t="n">
        <x:f>H27-H27/(1+'Assumptions'!$B$12)</x:f>
        <x:v>2.96632248922179</x:v>
      </x:c>
      <x:c r="J27" s="6" t="n">
        <x:f>(H27-I27)*'Assumptions'!$B$13</x:f>
        <x:v>0.4449483733832687</x:v>
      </x:c>
      <x:c r="K27" s="6" t="n">
        <x:f>(H27-I27-J27)*'Assumptions'!$B$14</x:f>
        <x:v>2.157999610908853</x:v>
      </x:c>
      <x:c r="L27" s="6" t="n">
        <x:f>H27-SUM(I27:K27)</x:f>
        <x:v>12.228664461816836</x:v>
      </x:c>
      <x:c r="M27" s="6" t="n">
        <x:f>E27*'Assumptions'!$B$19*'Assumptions'!$B$17*'Assumptions'!$B$18/1000*'Assumptions'!$B$16</x:f>
        <x:v>0</x:v>
      </x:c>
      <x:c r="N27" s="6" t="n">
        <x:f>SUM(L27:M27)</x:f>
        <x:v>12.228664461816836</x:v>
      </x:c>
      <x:c r="O27" s="6" t="n">
        <x:f>'Assumptions'!$B$20+D27/1000*'Assumptions'!$B$21</x:f>
        <x:v>41.17710804752804</x:v>
      </x:c>
      <x:c r="P27" s="6" t="n">
        <x:f>'Assumptions'!$B$22</x:f>
        <x:v>10</x:v>
      </x:c>
      <x:c r="Q27" s="6" t="n">
        <x:f>'Assumptions'!$B$23</x:f>
        <x:v>0</x:v>
      </x:c>
      <x:c r="R27" s="6" t="n">
        <x:f>SUM(O27:Q27)</x:f>
        <x:v>51.17710804752804</x:v>
      </x:c>
      <x:c r="S27" s="6" t="n">
        <x:f>N27-R27</x:f>
        <x:v>-38.9484435857112</x:v>
      </x:c>
      <x:c r="T27" s="6" t="n">
        <x:f>IF(A27&gt;'Assumptions'!$B$31,INDEX(N$6:N$29,A27-'Assumptions'!$B$31),0)</x:f>
        <x:v>11.988886727271407</x:v>
      </x:c>
      <x:c r="U27" s="6" t="n">
        <x:f>'Assumptions'!$B$29-'Assumptions'!$B$27-'Assumptions'!$B$28+SUM(T$6:T27)-SUM(R$6:R27)</x:f>
        <x:v>-948.2601586464709</x:v>
      </x:c>
      <x:c r="V27" s="6" t="n">
        <x:f>'Assumptions'!$B$24*'Assumptions'!$B$25</x:f>
        <x:v>320</x:v>
      </x:c>
      <x:c r="W27" s="6" t="n">
        <x:f>SUM(S$6:S27)-SUM(V$6:V27)-'Assumptions'!$B$27-'Assumptions'!$B$28-'Assumptions'!$B$26*'Assumptions'!$B$25</x:f>
        <x:v>-47976.03149418465</x:v>
      </x:c>
    </x:row>
    <x:row r="28" ht="22" customHeight="1">
      <x:c r="A28" s="46" t="n">
        <x:f>23</x:f>
        <x:v>23</x:v>
      </x:c>
      <x:c r="B28" s="6" t="n">
        <x:f>B27*(1+'Assumptions'!$B$7)</x:f>
        <x:v>386.49491769397014</x:v>
      </x:c>
      <x:c r="C28" s="6" t="n">
        <x:f>SUM(B$6:B28)</x:f>
        <x:v>7211.24080239247</x:v>
      </x:c>
      <x:c r="D28" s="6" t="n">
        <x:f>B28*'Retention'!B6+B27*'Retention'!B7+B26*'Retention'!B8+B25*'Retention'!B9+B24*'Retention'!B10+B23*'Retention'!B11+B22*'Retention'!B12+B21*'Retention'!B13+B20*'Retention'!B14+B19*'Retention'!B15+B18*'Retention'!B16+B17*'Retention'!B17+B16*'Retention'!B18+B15*'Retention'!B19+B14*'Retention'!B20+B13*'Retention'!B21+B12*'Retention'!B22+B11*'Retention'!B23+B10*'Retention'!B24+B9*'Retention'!B25+B8*'Retention'!B26+B7*'Retention'!B27+B6*'Retention'!B28</x:f>
        <x:v>605.0420242709887</x:v>
      </x:c>
      <x:c r="E28" s="6" t="n">
        <x:f>D28*'Assumptions'!$B$15</x:f>
        <x:v>90.7563036406483</x:v>
      </x:c>
      <x:c r="F28" s="6" t="n">
        <x:f>IF(A28&gt;'Assumptions'!$B$30,INDEX(B$6:B$29,A28-'Assumptions'!$B$30),0)*'Assumptions'!$B$8</x:f>
        <x:v>1.515666343897922</x:v>
      </x:c>
      <x:c r="G28" s="6" t="n">
        <x:f>IF(A28&gt;'Assumptions'!$B$30,INDEX(B$6:B$29,A28-'Assumptions'!$B$30),0)*'Assumptions'!$B$10</x:f>
        <x:v>1.8945829298724028</x:v>
      </x:c>
      <x:c r="H28" s="6" t="n">
        <x:f>F28*'Assumptions'!$B$9+G28*'Assumptions'!$B$11</x:f>
        <x:v>18.153893634037363</x:v>
      </x:c>
      <x:c r="I28" s="6" t="n">
        <x:f>H28-H28/(1+'Assumptions'!$B$12)</x:f>
        <x:v>3.025648939006226</x:v>
      </x:c>
      <x:c r="J28" s="6" t="n">
        <x:f>(H28-I28)*'Assumptions'!$B$13</x:f>
        <x:v>0.4538473408509341</x:v>
      </x:c>
      <x:c r="K28" s="6" t="n">
        <x:f>(H28-I28-J28)*'Assumptions'!$B$14</x:f>
        <x:v>2.20115960312703</x:v>
      </x:c>
      <x:c r="L28" s="6" t="n">
        <x:f>H28-SUM(I28:K28)</x:f>
        <x:v>12.473237751053173</x:v>
      </x:c>
      <x:c r="M28" s="6" t="n">
        <x:f>E28*'Assumptions'!$B$19*'Assumptions'!$B$17*'Assumptions'!$B$18/1000*'Assumptions'!$B$16</x:f>
        <x:v>0</x:v>
      </x:c>
      <x:c r="N28" s="6" t="n">
        <x:f>SUM(L28:M28)</x:f>
        <x:v>12.473237751053173</x:v>
      </x:c>
      <x:c r="O28" s="6" t="n">
        <x:f>'Assumptions'!$B$20+D28/1000*'Assumptions'!$B$21</x:f>
        <x:v>41.21008404854198</x:v>
      </x:c>
      <x:c r="P28" s="6" t="n">
        <x:f>'Assumptions'!$B$22</x:f>
        <x:v>10</x:v>
      </x:c>
      <x:c r="Q28" s="6" t="n">
        <x:f>'Assumptions'!$B$23</x:f>
        <x:v>0</x:v>
      </x:c>
      <x:c r="R28" s="6" t="n">
        <x:f>SUM(O28:Q28)</x:f>
        <x:v>51.21008404854198</x:v>
      </x:c>
      <x:c r="S28" s="6" t="n">
        <x:f>N28-R28</x:f>
        <x:v>-38.73684629748881</x:v>
      </x:c>
      <x:c r="T28" s="6" t="n">
        <x:f>IF(A28&gt;'Assumptions'!$B$31,INDEX(N$6:N$29,A28-'Assumptions'!$B$31),0)</x:f>
        <x:v>12.228664461816836</x:v>
      </x:c>
      <x:c r="U28" s="6" t="n">
        <x:f>'Assumptions'!$B$29-'Assumptions'!$B$27-'Assumptions'!$B$28+SUM(T$6:T28)-SUM(R$6:R28)</x:f>
        <x:v>-987.2415782331962</x:v>
      </x:c>
      <x:c r="V28" s="6" t="n">
        <x:f>'Assumptions'!$B$24*'Assumptions'!$B$25</x:f>
        <x:v>320</x:v>
      </x:c>
      <x:c r="W28" s="6" t="n">
        <x:f>SUM(S$6:S28)-SUM(V$6:V28)-'Assumptions'!$B$27-'Assumptions'!$B$28-'Assumptions'!$B$26*'Assumptions'!$B$25</x:f>
        <x:v>-48334.768340482144</x:v>
      </x:c>
    </x:row>
    <x:row r="29" ht="22" customHeight="1">
      <x:c r="A29" s="46" t="n">
        <x:f>24</x:f>
        <x:v>24</x:v>
      </x:c>
      <x:c r="B29" s="6" t="n">
        <x:f>B28*(1+'Assumptions'!$B$7)</x:f>
        <x:v>394.2248160478496</x:v>
      </x:c>
      <x:c r="C29" s="6" t="n">
        <x:f>SUM(B$6:B29)</x:f>
        <x:v>7605.465618440319</x:v>
      </x:c>
      <x:c r="D29" s="6" t="n">
        <x:f>B29*'Retention'!B6+B28*'Retention'!B7+B27*'Retention'!B8+B26*'Retention'!B9+B25*'Retention'!B10+B24*'Retention'!B11+B23*'Retention'!B12+B22*'Retention'!B13+B21*'Retention'!B14+B20*'Retention'!B15+B19*'Retention'!B16+B18*'Retention'!B17+B17*'Retention'!B18+B16*'Retention'!B19+B15*'Retention'!B20+B14*'Retention'!B21+B13*'Retention'!B22+B12*'Retention'!B23+B11*'Retention'!B24+B10*'Retention'!B25+B9*'Retention'!B26+B8*'Retention'!B27+B7*'Retention'!B28+B6*'Retention'!B29</x:f>
        <x:v>621.6239387865154</x:v>
      </x:c>
      <x:c r="E29" s="6" t="n">
        <x:f>D29*'Assumptions'!$B$15</x:f>
        <x:v>93.2435908179773</x:v>
      </x:c>
      <x:c r="F29" s="6" t="n">
        <x:f>IF(A29&gt;'Assumptions'!$B$30,INDEX(B$6:B$29,A29-'Assumptions'!$B$30),0)*'Assumptions'!$B$8</x:f>
        <x:v>1.5459796707758806</x:v>
      </x:c>
      <x:c r="G29" s="6" t="n">
        <x:f>IF(A29&gt;'Assumptions'!$B$30,INDEX(B$6:B$29,A29-'Assumptions'!$B$30),0)*'Assumptions'!$B$10</x:f>
        <x:v>1.9324745884698507</x:v>
      </x:c>
      <x:c r="H29" s="6" t="n">
        <x:f>F29*'Assumptions'!$B$9+G29*'Assumptions'!$B$11</x:f>
        <x:v>18.51697150671811</x:v>
      </x:c>
      <x:c r="I29" s="6" t="n">
        <x:f>H29-H29/(1+'Assumptions'!$B$12)</x:f>
        <x:v>3.0861619177863506</x:v>
      </x:c>
      <x:c r="J29" s="6" t="n">
        <x:f>(H29-I29)*'Assumptions'!$B$13</x:f>
        <x:v>0.4629242876679528</x:v>
      </x:c>
      <x:c r="K29" s="6" t="n">
        <x:f>(H29-I29-J29)*'Assumptions'!$B$14</x:f>
        <x:v>2.245182795189571</x:v>
      </x:c>
      <x:c r="L29" s="6" t="n">
        <x:f>H29-SUM(I29:K29)</x:f>
        <x:v>12.722702506074237</x:v>
      </x:c>
      <x:c r="M29" s="6" t="n">
        <x:f>E29*'Assumptions'!$B$19*'Assumptions'!$B$17*'Assumptions'!$B$18/1000*'Assumptions'!$B$16</x:f>
        <x:v>0</x:v>
      </x:c>
      <x:c r="N29" s="6" t="n">
        <x:f>SUM(L29:M29)</x:f>
        <x:v>12.722702506074237</x:v>
      </x:c>
      <x:c r="O29" s="6" t="n">
        <x:f>'Assumptions'!$B$20+D29/1000*'Assumptions'!$B$21</x:f>
        <x:v>41.24324787757303</x:v>
      </x:c>
      <x:c r="P29" s="6" t="n">
        <x:f>'Assumptions'!$B$22</x:f>
        <x:v>10</x:v>
      </x:c>
      <x:c r="Q29" s="6" t="n">
        <x:f>'Assumptions'!$B$23</x:f>
        <x:v>0</x:v>
      </x:c>
      <x:c r="R29" s="6" t="n">
        <x:f>SUM(O29:Q29)</x:f>
        <x:v>51.24324787757303</x:v>
      </x:c>
      <x:c r="S29" s="6" t="n">
        <x:f>N29-R29</x:f>
        <x:v>-38.5205453714988</x:v>
      </x:c>
      <x:c r="T29" s="6" t="n">
        <x:f>IF(A29&gt;'Assumptions'!$B$31,INDEX(N$6:N$29,A29-'Assumptions'!$B$31),0)</x:f>
        <x:v>12.473237751053173</x:v>
      </x:c>
      <x:c r="U29" s="6" t="n">
        <x:f>'Assumptions'!$B$29-'Assumptions'!$B$27-'Assumptions'!$B$28+SUM(T$6:T29)-SUM(R$6:R29)</x:f>
        <x:v>-1026.0115883597161</x:v>
      </x:c>
      <x:c r="V29" s="6" t="n">
        <x:f>'Assumptions'!$B$24*'Assumptions'!$B$25</x:f>
        <x:v>320</x:v>
      </x:c>
      <x:c r="W29" s="6" t="n">
        <x:f>SUM(S$6:S29)-SUM(V$6:V29)-'Assumptions'!$B$27-'Assumptions'!$B$28-'Assumptions'!$B$26*'Assumptions'!$B$25</x:f>
        <x:v>-48693.288885853646</x:v>
      </x:c>
    </x:row>
    <x:row r="30" ht="22" customHeight="1">
      <x:c r="A30" s="6"/>
      <x:c r="B30" s="6"/>
      <x:c r="C30" s="6"/>
      <x:c r="D30" s="6"/>
      <x:c r="E30" s="6"/>
      <x:c r="F30" s="6"/>
      <x:c r="G30" s="6"/>
      <x:c r="H30" s="6"/>
      <x:c r="I30" s="6"/>
      <x:c r="J30" s="6"/>
      <x:c r="K30" s="6"/>
      <x:c r="L30" s="6"/>
      <x:c r="M30" s="6"/>
      <x:c r="N30" s="6"/>
      <x:c r="O30" s="6"/>
      <x:c r="P30" s="6"/>
      <x:c r="Q30" s="6"/>
      <x:c r="R30" s="6"/>
      <x:c r="S30" s="6"/>
      <x:c r="T30" s="6"/>
      <x:c r="U30" s="6"/>
      <x:c r="V30" s="6"/>
      <x:c r="W30" s="6"/>
    </x:row>
    <x:row r="31" ht="22" customHeight="1">
      <x:c r="A31" s="6"/>
      <x:c r="B31" s="6"/>
      <x:c r="C31" s="6"/>
      <x:c r="D31" s="6"/>
      <x:c r="E31" s="6"/>
      <x:c r="F31" s="6"/>
      <x:c r="G31" s="6"/>
      <x:c r="H31" s="6"/>
      <x:c r="I31" s="6"/>
      <x:c r="J31" s="6"/>
      <x:c r="K31" s="6"/>
      <x:c r="L31" s="6"/>
      <x:c r="M31" s="6"/>
      <x:c r="N31" s="6"/>
      <x:c r="O31" s="6"/>
      <x:c r="P31" s="6"/>
      <x:c r="Q31" s="6"/>
      <x:c r="R31" s="6"/>
      <x:c r="S31" s="6"/>
      <x:c r="T31" s="6"/>
      <x:c r="U31" s="6"/>
      <x:c r="V31" s="6"/>
      <x:c r="W31" s="6"/>
    </x:row>
    <x:row r="32" ht="22" customHeight="1">
      <x:c r="A32" s="44" t="str">
        <x:v>24-MONTH SUMMARY</x:v>
      </x:c>
      <x:c r="B32" s="44"/>
      <x:c r="C32" s="6"/>
      <x:c r="D32" s="6"/>
      <x:c r="E32" s="6"/>
      <x:c r="F32" s="6"/>
      <x:c r="G32" s="6"/>
      <x:c r="H32" s="6"/>
      <x:c r="I32" s="6"/>
      <x:c r="J32" s="6"/>
      <x:c r="K32" s="6"/>
      <x:c r="L32" s="6"/>
      <x:c r="M32" s="6"/>
      <x:c r="N32" s="6"/>
      <x:c r="O32" s="6"/>
      <x:c r="P32" s="6"/>
      <x:c r="Q32" s="6"/>
      <x:c r="R32" s="6"/>
      <x:c r="S32" s="6"/>
      <x:c r="T32" s="6"/>
      <x:c r="U32" s="6"/>
      <x:c r="V32" s="6"/>
      <x:c r="W32" s="6"/>
    </x:row>
    <x:row r="33" ht="22" customHeight="1">
      <x:c r="A33" s="6" t="str">
        <x:v>Installs</x:v>
      </x:c>
      <x:c r="B33" s="6" t="n">
        <x:f>SUM(B6:B29)</x:f>
        <x:v>7605.465618440319</x:v>
      </x:c>
      <x:c r="C33" s="6"/>
      <x:c r="D33" s="6"/>
      <x:c r="E33" s="6"/>
      <x:c r="F33" s="6"/>
      <x:c r="G33" s="6"/>
      <x:c r="H33" s="6"/>
      <x:c r="I33" s="6"/>
      <x:c r="J33" s="6"/>
      <x:c r="K33" s="6"/>
      <x:c r="L33" s="6"/>
      <x:c r="M33" s="6"/>
      <x:c r="N33" s="6"/>
      <x:c r="O33" s="6"/>
      <x:c r="P33" s="6"/>
      <x:c r="Q33" s="6"/>
      <x:c r="R33" s="6"/>
      <x:c r="S33" s="6"/>
      <x:c r="T33" s="6"/>
      <x:c r="U33" s="6"/>
      <x:c r="V33" s="6"/>
      <x:c r="W33" s="6"/>
    </x:row>
    <x:row r="34" ht="22" customHeight="1">
      <x:c r="A34" s="6" t="str">
        <x:v>Gross consumer purchases</x:v>
      </x:c>
      <x:c r="B34" s="6" t="n">
        <x:f>SUM(H6:H29)</x:f>
        <x:v>345.4905468426233</x:v>
      </x:c>
      <x:c r="C34" s="6"/>
      <x:c r="D34" s="6"/>
      <x:c r="E34" s="6"/>
      <x:c r="F34" s="6"/>
      <x:c r="G34" s="6"/>
      <x:c r="H34" s="6"/>
      <x:c r="I34" s="6"/>
      <x:c r="J34" s="6"/>
      <x:c r="K34" s="6"/>
      <x:c r="L34" s="6"/>
      <x:c r="M34" s="6"/>
      <x:c r="N34" s="6"/>
      <x:c r="O34" s="6"/>
      <x:c r="P34" s="6"/>
      <x:c r="Q34" s="6"/>
      <x:c r="R34" s="6"/>
      <x:c r="S34" s="6"/>
      <x:c r="T34" s="6"/>
      <x:c r="U34" s="6"/>
      <x:c r="V34" s="6"/>
      <x:c r="W34" s="6"/>
    </x:row>
    <x:row r="35" ht="22" customHeight="1">
      <x:c r="A35" s="6" t="str">
        <x:v>Net developer revenue</x:v>
      </x:c>
      <x:c r="B35" s="6" t="n">
        <x:f>SUM(N6:N29)</x:f>
        <x:v>237.38079655978578</x:v>
      </x:c>
      <x:c r="C35" s="6"/>
      <x:c r="D35" s="6"/>
      <x:c r="E35" s="6"/>
      <x:c r="F35" s="6"/>
      <x:c r="G35" s="6"/>
      <x:c r="H35" s="6"/>
      <x:c r="I35" s="6"/>
      <x:c r="J35" s="6"/>
      <x:c r="K35" s="6"/>
      <x:c r="L35" s="6"/>
      <x:c r="M35" s="6"/>
      <x:c r="N35" s="6"/>
      <x:c r="O35" s="6"/>
      <x:c r="P35" s="6"/>
      <x:c r="Q35" s="6"/>
      <x:c r="R35" s="6"/>
      <x:c r="S35" s="6"/>
      <x:c r="T35" s="6"/>
      <x:c r="U35" s="6"/>
      <x:c r="V35" s="6"/>
      <x:c r="W35" s="6"/>
    </x:row>
    <x:row r="36" ht="22" customHeight="1">
      <x:c r="A36" s="6" t="str">
        <x:v>Cash operating costs</x:v>
      </x:c>
      <x:c r="B36" s="6" t="n">
        <x:f>SUM(R6:R29)</x:f>
        <x:v>1220.6696824134276</x:v>
      </x:c>
      <x:c r="C36" s="6"/>
      <x:c r="D36" s="6"/>
      <x:c r="E36" s="6"/>
      <x:c r="F36" s="6"/>
      <x:c r="G36" s="6"/>
      <x:c r="H36" s="6"/>
      <x:c r="I36" s="6"/>
      <x:c r="J36" s="6"/>
      <x:c r="K36" s="6"/>
      <x:c r="L36" s="6"/>
      <x:c r="M36" s="6"/>
      <x:c r="N36" s="6"/>
      <x:c r="O36" s="6"/>
      <x:c r="P36" s="6"/>
      <x:c r="Q36" s="6"/>
      <x:c r="R36" s="6"/>
      <x:c r="S36" s="6"/>
      <x:c r="T36" s="6"/>
      <x:c r="U36" s="6"/>
      <x:c r="V36" s="6"/>
      <x:c r="W36" s="6"/>
    </x:row>
    <x:row r="37" ht="22" customHeight="1">
      <x:c r="A37" s="6" t="str">
        <x:v>Operating contribution</x:v>
      </x:c>
      <x:c r="B37" s="6" t="n">
        <x:f>SUM(S6:S29)</x:f>
        <x:v>-983.2888858536417</x:v>
      </x:c>
      <x:c r="C37" s="6"/>
      <x:c r="D37" s="6"/>
      <x:c r="E37" s="6"/>
      <x:c r="F37" s="6"/>
      <x:c r="G37" s="6"/>
      <x:c r="H37" s="6"/>
      <x:c r="I37" s="6"/>
      <x:c r="J37" s="6"/>
      <x:c r="K37" s="6"/>
      <x:c r="L37" s="6"/>
      <x:c r="M37" s="6"/>
      <x:c r="N37" s="6"/>
      <x:c r="O37" s="6"/>
      <x:c r="P37" s="6"/>
      <x:c r="Q37" s="6"/>
      <x:c r="R37" s="6"/>
      <x:c r="S37" s="6"/>
      <x:c r="T37" s="6"/>
      <x:c r="U37" s="6"/>
      <x:c r="V37" s="6"/>
      <x:c r="W37" s="6"/>
    </x:row>
    <x:row r="38" ht="22" customHeight="1">
      <x:c r="A38" s="6" t="str">
        <x:v>Prelaunch cash + registration</x:v>
      </x:c>
      <x:c r="B38" s="6" t="n">
        <x:f>'Assumptions'!$B$27+'Assumptions'!$B$28</x:f>
        <x:v>30</x:v>
      </x:c>
      <x:c r="C38" s="6"/>
      <x:c r="D38" s="6"/>
      <x:c r="E38" s="6"/>
      <x:c r="F38" s="6"/>
      <x:c r="G38" s="6"/>
      <x:c r="H38" s="6"/>
      <x:c r="I38" s="6"/>
      <x:c r="J38" s="6"/>
      <x:c r="K38" s="6"/>
      <x:c r="L38" s="6"/>
      <x:c r="M38" s="6"/>
      <x:c r="N38" s="6"/>
      <x:c r="O38" s="6"/>
      <x:c r="P38" s="6"/>
      <x:c r="Q38" s="6"/>
      <x:c r="R38" s="6"/>
      <x:c r="S38" s="6"/>
      <x:c r="T38" s="6"/>
      <x:c r="U38" s="6"/>
      <x:c r="V38" s="6"/>
      <x:c r="W38" s="6"/>
    </x:row>
    <x:row r="39" ht="22" customHeight="1">
      <x:c r="A39" s="6" t="str">
        <x:v>Result before founder time (accrual)</x:v>
      </x:c>
      <x:c r="B39" s="50" t="n">
        <x:f>B37-B38</x:f>
        <x:v>-1013.2888858536417</x:v>
      </x:c>
      <x:c r="C39" s="6"/>
      <x:c r="D39" s="6"/>
      <x:c r="E39" s="6"/>
      <x:c r="F39" s="6"/>
      <x:c r="G39" s="6"/>
      <x:c r="H39" s="6"/>
      <x:c r="I39" s="6"/>
      <x:c r="J39" s="6"/>
      <x:c r="K39" s="6"/>
      <x:c r="L39" s="6"/>
      <x:c r="M39" s="6"/>
      <x:c r="N39" s="6"/>
      <x:c r="O39" s="6"/>
      <x:c r="P39" s="6"/>
      <x:c r="Q39" s="6"/>
      <x:c r="R39" s="6"/>
      <x:c r="S39" s="6"/>
      <x:c r="T39" s="6"/>
      <x:c r="U39" s="6"/>
      <x:c r="V39" s="6"/>
      <x:c r="W39" s="6"/>
    </x:row>
    <x:row r="40" ht="22" customHeight="1">
      <x:c r="A40" s="6" t="str">
        <x:v>Cash collected</x:v>
      </x:c>
      <x:c r="B40" s="6" t="n">
        <x:f>SUM(T6:T29)</x:f>
        <x:v>224.65809405371155</x:v>
      </x:c>
      <x:c r="C40" s="6"/>
      <x:c r="D40" s="6"/>
      <x:c r="E40" s="6"/>
      <x:c r="F40" s="6"/>
      <x:c r="G40" s="6"/>
      <x:c r="H40" s="6"/>
      <x:c r="I40" s="6"/>
      <x:c r="J40" s="6"/>
      <x:c r="K40" s="6"/>
      <x:c r="L40" s="6"/>
      <x:c r="M40" s="6"/>
      <x:c r="N40" s="6"/>
      <x:c r="O40" s="6"/>
      <x:c r="P40" s="6"/>
      <x:c r="Q40" s="6"/>
      <x:c r="R40" s="6"/>
      <x:c r="S40" s="6"/>
      <x:c r="T40" s="6"/>
      <x:c r="U40" s="6"/>
      <x:c r="V40" s="6"/>
      <x:c r="W40" s="6"/>
    </x:row>
    <x:row r="41" ht="22" customHeight="1">
      <x:c r="A41" s="6" t="str">
        <x:v>Cash balance at month 24</x:v>
      </x:c>
      <x:c r="B41" s="6" t="n">
        <x:f>U29</x:f>
        <x:v>-1026.0115883597161</x:v>
      </x:c>
      <x:c r="C41" s="6"/>
      <x:c r="D41" s="6"/>
      <x:c r="E41" s="6"/>
      <x:c r="F41" s="6"/>
      <x:c r="G41" s="6"/>
      <x:c r="H41" s="6"/>
      <x:c r="I41" s="6"/>
      <x:c r="J41" s="6"/>
      <x:c r="K41" s="6"/>
      <x:c r="L41" s="6"/>
      <x:c r="M41" s="6"/>
      <x:c r="N41" s="6"/>
      <x:c r="O41" s="6"/>
      <x:c r="P41" s="6"/>
      <x:c r="Q41" s="6"/>
      <x:c r="R41" s="6"/>
      <x:c r="S41" s="6"/>
      <x:c r="T41" s="6"/>
      <x:c r="U41" s="6"/>
      <x:c r="V41" s="6"/>
      <x:c r="W41" s="6"/>
    </x:row>
    <x:row r="42" ht="22" customHeight="1">
      <x:c r="A42" s="6" t="str">
        <x:v>Uncollected revenue at month 24</x:v>
      </x:c>
      <x:c r="B42" s="6" t="n">
        <x:f>SUM(N6:N29)-SUM(T6:T29)</x:f>
        <x:v>12.722702506074228</x:v>
      </x:c>
      <x:c r="C42" s="6"/>
      <x:c r="D42" s="6"/>
      <x:c r="E42" s="6"/>
      <x:c r="F42" s="6"/>
      <x:c r="G42" s="6"/>
      <x:c r="H42" s="6"/>
      <x:c r="I42" s="6"/>
      <x:c r="J42" s="6"/>
      <x:c r="K42" s="6"/>
      <x:c r="L42" s="6"/>
      <x:c r="M42" s="6"/>
      <x:c r="N42" s="6"/>
      <x:c r="O42" s="6"/>
      <x:c r="P42" s="6"/>
      <x:c r="Q42" s="6"/>
      <x:c r="R42" s="6"/>
      <x:c r="S42" s="6"/>
      <x:c r="T42" s="6"/>
      <x:c r="U42" s="6"/>
      <x:c r="V42" s="6"/>
      <x:c r="W42" s="6"/>
    </x:row>
    <x:row r="43" ht="22" customHeight="1">
      <x:c r="A43" s="6" t="str">
        <x:v>Peak funding required</x:v>
      </x:c>
      <x:c r="B43" s="6" t="n">
        <x:f>MAX(0,-MIN(U6:U29),'Assumptions'!$B$27+'Assumptions'!$B$28-'Assumptions'!$B$29)</x:f>
        <x:v>1026.0115883597161</x:v>
      </x:c>
      <x:c r="C43" s="6"/>
      <x:c r="D43" s="6"/>
      <x:c r="E43" s="6"/>
      <x:c r="F43" s="6"/>
      <x:c r="G43" s="6"/>
      <x:c r="H43" s="6"/>
      <x:c r="I43" s="6"/>
      <x:c r="J43" s="6"/>
      <x:c r="K43" s="6"/>
      <x:c r="L43" s="6"/>
      <x:c r="M43" s="6"/>
      <x:c r="N43" s="6"/>
      <x:c r="O43" s="6"/>
      <x:c r="P43" s="6"/>
      <x:c r="Q43" s="6"/>
      <x:c r="R43" s="6"/>
      <x:c r="S43" s="6"/>
      <x:c r="T43" s="6"/>
      <x:c r="U43" s="6"/>
      <x:c r="V43" s="6"/>
      <x:c r="W43" s="6"/>
    </x:row>
    <x:row r="44" ht="22" customHeight="1">
      <x:c r="A44" s="6" t="str">
        <x:v>Founder development + operations value</x:v>
      </x:c>
      <x:c r="B44" s="6" t="n">
        <x:f>'Assumptions'!$B$26*'Assumptions'!$B$25+SUM(V6:V29)</x:f>
        <x:v>47680</x:v>
      </x:c>
      <x:c r="C44" s="6"/>
      <x:c r="D44" s="6"/>
      <x:c r="E44" s="6"/>
      <x:c r="F44" s="6"/>
      <x:c r="G44" s="6"/>
      <x:c r="H44" s="6"/>
      <x:c r="I44" s="6"/>
      <x:c r="J44" s="6"/>
      <x:c r="K44" s="6"/>
      <x:c r="L44" s="6"/>
      <x:c r="M44" s="6"/>
      <x:c r="N44" s="6"/>
      <x:c r="O44" s="6"/>
      <x:c r="P44" s="6"/>
      <x:c r="Q44" s="6"/>
      <x:c r="R44" s="6"/>
      <x:c r="S44" s="6"/>
      <x:c r="T44" s="6"/>
      <x:c r="U44" s="6"/>
      <x:c r="V44" s="6"/>
      <x:c r="W44" s="6"/>
    </x:row>
    <x:row r="45" ht="22" customHeight="1">
      <x:c r="A45" s="6" t="str">
        <x:v>Economic result after founder time</x:v>
      </x:c>
      <x:c r="B45" s="6" t="n">
        <x:f>B39-B44</x:f>
        <x:v>-48693.28888585364</x:v>
      </x:c>
      <x:c r="C45" s="6"/>
      <x:c r="D45" s="6"/>
      <x:c r="E45" s="6"/>
      <x:c r="F45" s="6"/>
      <x:c r="G45" s="6"/>
      <x:c r="H45" s="6"/>
      <x:c r="I45" s="6"/>
      <x:c r="J45" s="6"/>
      <x:c r="K45" s="6"/>
      <x:c r="L45" s="6"/>
      <x:c r="M45" s="6"/>
      <x:c r="N45" s="6"/>
      <x:c r="O45" s="6"/>
      <x:c r="P45" s="6"/>
      <x:c r="Q45" s="6"/>
      <x:c r="R45" s="6"/>
      <x:c r="S45" s="6"/>
      <x:c r="T45" s="6"/>
      <x:c r="U45" s="6"/>
      <x:c r="V45" s="6"/>
      <x:c r="W45" s="6"/>
    </x:row>
    <x:row r="46" ht="22" customHeight="1">
      <x:c r="A46" s="6" t="str">
        <x:v>Net IAP / monetized-cohort install</x:v>
      </x:c>
      <x:c r="B46" s="48" t="n">
        <x:f>('Assumptions'!$B$8*'Assumptions'!$B$9+'Assumptions'!$B$10*'Assumptions'!$B$11)/(1+'Assumptions'!$B$12)*(1-'Assumptions'!$B$13)*(1-'Assumptions'!$B$14)</x:f>
        <x:v>0.0329181625</x:v>
      </x:c>
      <x:c r="C46" s="6"/>
      <x:c r="D46" s="6"/>
      <x:c r="E46" s="6"/>
      <x:c r="F46" s="6"/>
      <x:c r="G46" s="6"/>
      <x:c r="H46" s="6"/>
      <x:c r="I46" s="6"/>
      <x:c r="J46" s="6"/>
      <x:c r="K46" s="6"/>
      <x:c r="L46" s="6"/>
      <x:c r="M46" s="6"/>
      <x:c r="N46" s="6"/>
      <x:c r="O46" s="6"/>
      <x:c r="P46" s="6"/>
      <x:c r="Q46" s="6"/>
      <x:c r="R46" s="6"/>
      <x:c r="S46" s="6"/>
      <x:c r="T46" s="6"/>
      <x:c r="U46" s="6"/>
      <x:c r="V46" s="6"/>
      <x:c r="W46" s="6"/>
    </x:row>
  </x:sheetData>
  <x:mergeCells>
    <x:mergeCell ref="A1:W1"/>
    <x:mergeCell ref="A2:W3"/>
  </x:mergeCells>
  <x:conditionalFormatting sqref="U6:U29">
    <x:cfRule type="cellIs" dxfId="0" priority="1" operator="lessThan">
      <x:formula>0</x:formula>
    </x:cfRule>
  </x:conditionalFormatting>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40" hidden="0" customWidth="1"/>
    <x:col min="2" max="2" width="17" hidden="0" customWidth="1"/>
    <x:col min="3" max="3" width="17" hidden="0" customWidth="1"/>
    <x:col min="4" max="4" width="17" hidden="0" customWidth="1"/>
    <x:col min="5" max="5" width="17" hidden="0" customWidth="1"/>
    <x:col min="6" max="6" width="17" hidden="0" customWidth="1"/>
    <x:col min="7" max="7" width="17" hidden="0" customWidth="1"/>
    <x:col min="8" max="8" width="17" hidden="0" customWidth="1"/>
    <x:col min="9" max="9" width="17" hidden="0" customWidth="1"/>
    <x:col min="10" max="10" width="17" hidden="0" customWidth="1"/>
    <x:col min="11" max="11" width="17" hidden="0" customWidth="1"/>
    <x:col min="12" max="12" width="17" hidden="0" customWidth="1"/>
    <x:col min="13" max="13" width="17" hidden="0" customWidth="1"/>
    <x:col min="14" max="14" width="17" hidden="0" customWidth="1"/>
    <x:col min="15" max="15" width="17" hidden="0" customWidth="1"/>
    <x:col min="16" max="16" width="17" hidden="0" customWidth="1"/>
    <x:col min="17" max="17" width="17" hidden="0" customWidth="1"/>
    <x:col min="18" max="18" width="17" hidden="0" customWidth="1"/>
    <x:col min="19" max="19" width="17" hidden="0" customWidth="1"/>
    <x:col min="20" max="20" width="17" hidden="0" customWidth="1"/>
    <x:col min="21" max="21" width="17" hidden="0" customWidth="1"/>
    <x:col min="22" max="22" width="17" hidden="0" customWidth="1"/>
    <x:col min="23" max="23" width="17" hidden="0" customWidth="1"/>
  </x:cols>
  <x:sheetData>
    <x:row r="1" ht="22" customHeight="1">
      <x:c r="A1" s="12" t="str">
        <x:v>BASE CASE — 24-month launch cohort model | EUR</x:v>
      </x:c>
      <x:c r="B1" s="12"/>
      <x:c r="C1" s="12"/>
      <x:c r="D1" s="12"/>
      <x:c r="E1" s="6"/>
      <x:c r="F1" s="6"/>
      <x:c r="G1" s="6"/>
      <x:c r="H1" s="6"/>
      <x:c r="I1" s="6"/>
      <x:c r="J1" s="6"/>
      <x:c r="K1" s="6"/>
      <x:c r="L1" s="6"/>
      <x:c r="M1" s="6"/>
      <x:c r="N1" s="6"/>
      <x:c r="O1" s="6"/>
      <x:c r="P1" s="6"/>
      <x:c r="Q1" s="6"/>
      <x:c r="R1" s="6"/>
      <x:c r="S1" s="6"/>
      <x:c r="T1" s="6"/>
      <x:c r="U1" s="6"/>
      <x:c r="V1" s="6"/>
      <x:c r="W1" s="6"/>
    </x:row>
    <x:row r="2" ht="22" customHeight="1">
      <x:c r="A2" s="14" t="str">
        <x:v>Month 1 = launch. Purchase and collection lags use Assumptions (default: one month each). Expected order counts may be fractional. No recurring purchases assumed. Cloud and moderation costs continue when new installs slow.</x:v>
      </x:c>
      <x:c r="B2" s="14"/>
      <x:c r="C2" s="14"/>
      <x:c r="D2" s="14"/>
      <x:c r="E2" s="15"/>
      <x:c r="F2" s="15"/>
      <x:c r="G2" s="15"/>
      <x:c r="H2" s="15"/>
      <x:c r="I2" s="15"/>
      <x:c r="J2" s="15"/>
      <x:c r="K2" s="15"/>
      <x:c r="L2" s="15"/>
      <x:c r="M2" s="15"/>
      <x:c r="N2" s="15"/>
      <x:c r="O2" s="15"/>
      <x:c r="P2" s="15"/>
      <x:c r="Q2" s="15"/>
      <x:c r="R2" s="15"/>
      <x:c r="S2" s="15"/>
      <x:c r="T2" s="15"/>
      <x:c r="U2" s="15"/>
      <x:c r="V2" s="15"/>
      <x:c r="W2" s="15"/>
    </x:row>
    <x:row r="3" ht="22" customHeight="1">
      <x:c r="A3" s="15"/>
      <x:c r="B3" s="15"/>
      <x:c r="C3" s="15"/>
      <x:c r="D3" s="15"/>
      <x:c r="E3" s="15"/>
      <x:c r="F3" s="15"/>
      <x:c r="G3" s="15"/>
      <x:c r="H3" s="15"/>
      <x:c r="I3" s="15"/>
      <x:c r="J3" s="15"/>
      <x:c r="K3" s="15"/>
      <x:c r="L3" s="15"/>
      <x:c r="M3" s="15"/>
      <x:c r="N3" s="15"/>
      <x:c r="O3" s="15"/>
      <x:c r="P3" s="15"/>
      <x:c r="Q3" s="15"/>
      <x:c r="R3" s="15"/>
      <x:c r="S3" s="15"/>
      <x:c r="T3" s="15"/>
      <x:c r="U3" s="15"/>
      <x:c r="V3" s="15"/>
      <x:c r="W3" s="15"/>
    </x:row>
    <x:row r="4" ht="22" customHeight="1">
      <x:c r="A4" s="6"/>
      <x:c r="B4" s="6"/>
      <x:c r="C4" s="6"/>
      <x:c r="D4" s="6"/>
      <x:c r="E4" s="6"/>
      <x:c r="F4" s="6"/>
      <x:c r="G4" s="6"/>
      <x:c r="H4" s="6"/>
      <x:c r="I4" s="6"/>
      <x:c r="J4" s="6"/>
      <x:c r="K4" s="6"/>
      <x:c r="L4" s="6"/>
      <x:c r="M4" s="6"/>
      <x:c r="N4" s="6"/>
      <x:c r="O4" s="6"/>
      <x:c r="P4" s="6"/>
      <x:c r="Q4" s="6"/>
      <x:c r="R4" s="6"/>
      <x:c r="S4" s="6"/>
      <x:c r="T4" s="6"/>
      <x:c r="U4" s="6"/>
      <x:c r="V4" s="6"/>
      <x:c r="W4" s="6"/>
    </x:row>
    <x:row r="5" ht="35" customHeight="1">
      <x:c r="A5" s="20" t="str">
        <x:v>MONTH</x:v>
      </x:c>
      <x:c r="B5" s="20" t="str">
        <x:v>NEW INSTALLS</x:v>
      </x:c>
      <x:c r="C5" s="20" t="str">
        <x:v>CUM. INSTALLS</x:v>
      </x:c>
      <x:c r="D5" s="20" t="str">
        <x:v>MAU</x:v>
      </x:c>
      <x:c r="E5" s="20" t="str">
        <x:v>DAU</x:v>
      </x:c>
      <x:c r="F5" s="20" t="str">
        <x:v>CREATOR ORDERS</x:v>
      </x:c>
      <x:c r="G5" s="20" t="str">
        <x:v>COSMETIC BUYERS</x:v>
      </x:c>
      <x:c r="H5" s="20" t="str">
        <x:v>GROSS IAP</x:v>
      </x:c>
      <x:c r="I5" s="20" t="str">
        <x:v>SALES TAX</x:v>
      </x:c>
      <x:c r="J5" s="20" t="str">
        <x:v>REFUNDS</x:v>
      </x:c>
      <x:c r="K5" s="20" t="str">
        <x:v>PLAY FEES</x:v>
      </x:c>
      <x:c r="L5" s="20" t="str">
        <x:v>NET IAP</x:v>
      </x:c>
      <x:c r="M5" s="20" t="str">
        <x:v>NET ADS</x:v>
      </x:c>
      <x:c r="N5" s="20" t="str">
        <x:v>NET REVENUE</x:v>
      </x:c>
      <x:c r="O5" s="20" t="str">
        <x:v>CLOUD / TOOLS</x:v>
      </x:c>
      <x:c r="P5" s="20" t="str">
        <x:v>CASH SUPPORT</x:v>
      </x:c>
      <x:c r="Q5" s="20" t="str">
        <x:v>MARKETING</x:v>
      </x:c>
      <x:c r="R5" s="20" t="str">
        <x:v>CASH OPEX</x:v>
      </x:c>
      <x:c r="S5" s="20" t="str">
        <x:v>OP. CONTRIBUTION</x:v>
      </x:c>
      <x:c r="T5" s="20" t="str">
        <x:v>CASH RECEIPTS</x:v>
      </x:c>
      <x:c r="U5" s="20" t="str">
        <x:v>CUM. CASH</x:v>
      </x:c>
      <x:c r="V5" s="20" t="str">
        <x:v>FOUNDER OPS VALUE</x:v>
      </x:c>
      <x:c r="W5" s="20" t="str">
        <x:v>CUM. ECONOMIC RESULT</x:v>
      </x:c>
    </x:row>
    <x:row r="6" ht="22" customHeight="1">
      <x:c r="A6" s="46" t="n">
        <x:f>1</x:f>
        <x:v>1</x:v>
      </x:c>
      <x:c r="B6" s="6" t="n">
        <x:f>'Assumptions'!$C$6</x:f>
        <x:v>2000</x:v>
      </x:c>
      <x:c r="C6" s="6" t="n">
        <x:f>SUM(B$6:B6)</x:f>
        <x:v>2000</x:v>
      </x:c>
      <x:c r="D6" s="6" t="n">
        <x:f>B6*'Retention'!C6</x:f>
        <x:v>1800</x:v>
      </x:c>
      <x:c r="E6" s="6" t="n">
        <x:f>D6*'Assumptions'!$C$15</x:f>
        <x:v>360</x:v>
      </x:c>
      <x:c r="F6" s="6" t="n">
        <x:f>IF(A6&gt;'Assumptions'!$C$30,INDEX(B$6:B$29,A6-'Assumptions'!$C$30),0)*'Assumptions'!$C$8</x:f>
        <x:v>0</x:v>
      </x:c>
      <x:c r="G6" s="6" t="n">
        <x:f>IF(A6&gt;'Assumptions'!$C$30,INDEX(B$6:B$29,A6-'Assumptions'!$C$30),0)*'Assumptions'!$C$10</x:f>
        <x:v>0</x:v>
      </x:c>
      <x:c r="H6" s="6" t="n">
        <x:f>F6*'Assumptions'!$C$9+G6*'Assumptions'!$C$11</x:f>
        <x:v>0</x:v>
      </x:c>
      <x:c r="I6" s="6" t="n">
        <x:f>H6-H6/(1+'Assumptions'!$C$12)</x:f>
        <x:v>0</x:v>
      </x:c>
      <x:c r="J6" s="6" t="n">
        <x:f>(H6-I6)*'Assumptions'!$C$13</x:f>
        <x:v>0</x:v>
      </x:c>
      <x:c r="K6" s="6" t="n">
        <x:f>(H6-I6-J6)*'Assumptions'!$C$14</x:f>
        <x:v>0</x:v>
      </x:c>
      <x:c r="L6" s="6" t="n">
        <x:f>H6-SUM(I6:K6)</x:f>
        <x:v>0</x:v>
      </x:c>
      <x:c r="M6" s="6" t="n">
        <x:f>E6*'Assumptions'!$C$19*'Assumptions'!$C$17*'Assumptions'!$C$18/1000*'Assumptions'!$C$16</x:f>
        <x:v>0</x:v>
      </x:c>
      <x:c r="N6" s="6" t="n">
        <x:f>SUM(L6:M6)</x:f>
        <x:v>0</x:v>
      </x:c>
      <x:c r="O6" s="6" t="n">
        <x:f>'Assumptions'!$C$20+D6/1000*'Assumptions'!$C$21</x:f>
        <x:v>85.4</x:v>
      </x:c>
      <x:c r="P6" s="6" t="n">
        <x:f>'Assumptions'!$C$22</x:f>
        <x:v>50</x:v>
      </x:c>
      <x:c r="Q6" s="6" t="n">
        <x:f>'Assumptions'!$C$23</x:f>
        <x:v>0</x:v>
      </x:c>
      <x:c r="R6" s="6" t="n">
        <x:f>SUM(O6:Q6)</x:f>
        <x:v>135.4</x:v>
      </x:c>
      <x:c r="S6" s="6" t="n">
        <x:f>N6-R6</x:f>
        <x:v>-135.4</x:v>
      </x:c>
      <x:c r="T6" s="6" t="n">
        <x:f>IF(A6&gt;'Assumptions'!$C$31,INDEX(N$6:N$29,A6-'Assumptions'!$C$31),0)</x:f>
        <x:v>0</x:v>
      </x:c>
      <x:c r="U6" s="6" t="n">
        <x:f>'Assumptions'!$C$29-'Assumptions'!$C$27-'Assumptions'!$C$28+SUM(T$6:T6)-SUM(R$6:R6)</x:f>
        <x:v>-665.4</x:v>
      </x:c>
      <x:c r="V6" s="6" t="n">
        <x:f>'Assumptions'!$C$24*'Assumptions'!$C$25</x:f>
        <x:v>800</x:v>
      </x:c>
      <x:c r="W6" s="6" t="n">
        <x:f>SUM(S$6:S6)-SUM(V$6:V6)-'Assumptions'!$C$27-'Assumptions'!$C$28-'Assumptions'!$C$26*'Assumptions'!$C$25</x:f>
        <x:v>-41465.4</x:v>
      </x:c>
    </x:row>
    <x:row r="7" ht="22" customHeight="1">
      <x:c r="A7" s="46" t="n">
        <x:f>2</x:f>
        <x:v>2</x:v>
      </x:c>
      <x:c r="B7" s="6" t="n">
        <x:f>B6*(1+'Assumptions'!$C$7)</x:f>
        <x:v>2100</x:v>
      </x:c>
      <x:c r="C7" s="6" t="n">
        <x:f>SUM(B$6:B7)</x:f>
        <x:v>4100</x:v>
      </x:c>
      <x:c r="D7" s="6" t="n">
        <x:f>B7*'Retention'!C6+B6*'Retention'!C7</x:f>
        <x:v>2390</x:v>
      </x:c>
      <x:c r="E7" s="6" t="n">
        <x:f>D7*'Assumptions'!$C$15</x:f>
        <x:v>478</x:v>
      </x:c>
      <x:c r="F7" s="6" t="n">
        <x:f>IF(A7&gt;'Assumptions'!$C$30,INDEX(B$6:B$29,A7-'Assumptions'!$C$30),0)*'Assumptions'!$C$8</x:f>
        <x:v>30</x:v>
      </x:c>
      <x:c r="G7" s="6" t="n">
        <x:f>IF(A7&gt;'Assumptions'!$C$30,INDEX(B$6:B$29,A7-'Assumptions'!$C$30),0)*'Assumptions'!$C$10</x:f>
        <x:v>40</x:v>
      </x:c>
      <x:c r="H7" s="6" t="n">
        <x:f>F7*'Assumptions'!$C$9+G7*'Assumptions'!$C$11</x:f>
        <x:v>409.30000000000007</x:v>
      </x:c>
      <x:c r="I7" s="6" t="n">
        <x:f>H7-H7/(1+'Assumptions'!$C$12)</x:f>
        <x:v>68.21666666666664</x:v>
      </x:c>
      <x:c r="J7" s="6" t="n">
        <x:f>(H7-I7)*'Assumptions'!$C$13</x:f>
        <x:v>10.232500000000002</x:v>
      </x:c>
      <x:c r="K7" s="6" t="n">
        <x:f>(H7-I7-J7)*'Assumptions'!$C$14</x:f>
        <x:v>49.62762500000001</x:v>
      </x:c>
      <x:c r="L7" s="6" t="n">
        <x:f>H7-SUM(I7:K7)</x:f>
        <x:v>281.22320833333345</x:v>
      </x:c>
      <x:c r="M7" s="6" t="n">
        <x:f>E7*'Assumptions'!$C$19*'Assumptions'!$C$17*'Assumptions'!$C$18/1000*'Assumptions'!$C$16</x:f>
        <x:v>0</x:v>
      </x:c>
      <x:c r="N7" s="6" t="n">
        <x:f>SUM(L7:M7)</x:f>
        <x:v>281.22320833333345</x:v>
      </x:c>
      <x:c r="O7" s="6" t="n">
        <x:f>'Assumptions'!$C$20+D7/1000*'Assumptions'!$C$21</x:f>
        <x:v>87.17</x:v>
      </x:c>
      <x:c r="P7" s="6" t="n">
        <x:f>'Assumptions'!$C$22</x:f>
        <x:v>50</x:v>
      </x:c>
      <x:c r="Q7" s="6" t="n">
        <x:f>'Assumptions'!$C$23</x:f>
        <x:v>0</x:v>
      </x:c>
      <x:c r="R7" s="6" t="n">
        <x:f>SUM(O7:Q7)</x:f>
        <x:v>137.17000000000002</x:v>
      </x:c>
      <x:c r="S7" s="6" t="n">
        <x:f>N7-R7</x:f>
        <x:v>144.05320833333343</x:v>
      </x:c>
      <x:c r="T7" s="6" t="n">
        <x:f>IF(A7&gt;'Assumptions'!$C$31,INDEX(N$6:N$29,A7-'Assumptions'!$C$31),0)</x:f>
        <x:v>0</x:v>
      </x:c>
      <x:c r="U7" s="6" t="n">
        <x:f>'Assumptions'!$C$29-'Assumptions'!$C$27-'Assumptions'!$C$28+SUM(T$6:T7)-SUM(R$6:R7)</x:f>
        <x:v>-802.57</x:v>
      </x:c>
      <x:c r="V7" s="6" t="n">
        <x:f>'Assumptions'!$C$24*'Assumptions'!$C$25</x:f>
        <x:v>800</x:v>
      </x:c>
      <x:c r="W7" s="6" t="n">
        <x:f>SUM(S$6:S7)-SUM(V$6:V7)-'Assumptions'!$C$27-'Assumptions'!$C$28-'Assumptions'!$C$26*'Assumptions'!$C$25</x:f>
        <x:v>-42121.34679166667</x:v>
      </x:c>
    </x:row>
    <x:row r="8" ht="22" customHeight="1">
      <x:c r="A8" s="46" t="n">
        <x:f>3</x:f>
        <x:v>3</x:v>
      </x:c>
      <x:c r="B8" s="6" t="n">
        <x:f>B7*(1+'Assumptions'!$C$7)</x:f>
        <x:v>2205</x:v>
      </x:c>
      <x:c r="C8" s="6" t="n">
        <x:f>SUM(B$6:B8)</x:f>
        <x:v>6305</x:v>
      </x:c>
      <x:c r="D8" s="6" t="n">
        <x:f>B8*'Retention'!C6+B7*'Retention'!C7+B6*'Retention'!C8</x:f>
        <x:v>2869.5</x:v>
      </x:c>
      <x:c r="E8" s="6" t="n">
        <x:f>D8*'Assumptions'!$C$15</x:f>
        <x:v>573.9</x:v>
      </x:c>
      <x:c r="F8" s="6" t="n">
        <x:f>IF(A8&gt;'Assumptions'!$C$30,INDEX(B$6:B$29,A8-'Assumptions'!$C$30),0)*'Assumptions'!$C$8</x:f>
        <x:v>31.5</x:v>
      </x:c>
      <x:c r="G8" s="6" t="n">
        <x:f>IF(A8&gt;'Assumptions'!$C$30,INDEX(B$6:B$29,A8-'Assumptions'!$C$30),0)*'Assumptions'!$C$10</x:f>
        <x:v>42</x:v>
      </x:c>
      <x:c r="H8" s="6" t="n">
        <x:f>F8*'Assumptions'!$C$9+G8*'Assumptions'!$C$11</x:f>
        <x:v>429.765</x:v>
      </x:c>
      <x:c r="I8" s="6" t="n">
        <x:f>H8-H8/(1+'Assumptions'!$C$12)</x:f>
        <x:v>71.6275</x:v>
      </x:c>
      <x:c r="J8" s="6" t="n">
        <x:f>(H8-I8)*'Assumptions'!$C$13</x:f>
        <x:v>10.744124999999999</x:v>
      </x:c>
      <x:c r="K8" s="6" t="n">
        <x:f>(H8-I8-J8)*'Assumptions'!$C$14</x:f>
        <x:v>52.10900625</x:v>
      </x:c>
      <x:c r="L8" s="6" t="n">
        <x:f>H8-SUM(I8:K8)</x:f>
        <x:v>295.28436875</x:v>
      </x:c>
      <x:c r="M8" s="6" t="n">
        <x:f>E8*'Assumptions'!$C$19*'Assumptions'!$C$17*'Assumptions'!$C$18/1000*'Assumptions'!$C$16</x:f>
        <x:v>0</x:v>
      </x:c>
      <x:c r="N8" s="6" t="n">
        <x:f>SUM(L8:M8)</x:f>
        <x:v>295.28436875</x:v>
      </x:c>
      <x:c r="O8" s="6" t="n">
        <x:f>'Assumptions'!$C$20+D8/1000*'Assumptions'!$C$21</x:f>
        <x:v>88.60849999999999</x:v>
      </x:c>
      <x:c r="P8" s="6" t="n">
        <x:f>'Assumptions'!$C$22</x:f>
        <x:v>50</x:v>
      </x:c>
      <x:c r="Q8" s="6" t="n">
        <x:f>'Assumptions'!$C$23</x:f>
        <x:v>0</x:v>
      </x:c>
      <x:c r="R8" s="6" t="n">
        <x:f>SUM(O8:Q8)</x:f>
        <x:v>138.6085</x:v>
      </x:c>
      <x:c r="S8" s="6" t="n">
        <x:f>N8-R8</x:f>
        <x:v>156.67586875</x:v>
      </x:c>
      <x:c r="T8" s="6" t="n">
        <x:f>IF(A8&gt;'Assumptions'!$C$31,INDEX(N$6:N$29,A8-'Assumptions'!$C$31),0)</x:f>
        <x:v>281.22320833333345</x:v>
      </x:c>
      <x:c r="U8" s="6" t="n">
        <x:f>'Assumptions'!$C$29-'Assumptions'!$C$27-'Assumptions'!$C$28+SUM(T$6:T8)-SUM(R$6:R8)</x:f>
        <x:v>-659.9552916666667</x:v>
      </x:c>
      <x:c r="V8" s="6" t="n">
        <x:f>'Assumptions'!$C$24*'Assumptions'!$C$25</x:f>
        <x:v>800</x:v>
      </x:c>
      <x:c r="W8" s="6" t="n">
        <x:f>SUM(S$6:S8)-SUM(V$6:V8)-'Assumptions'!$C$27-'Assumptions'!$C$28-'Assumptions'!$C$26*'Assumptions'!$C$25</x:f>
        <x:v>-42764.670922916666</x:v>
      </x:c>
    </x:row>
    <x:row r="9" ht="22" customHeight="1">
      <x:c r="A9" s="46" t="n">
        <x:f>4</x:f>
        <x:v>4</x:v>
      </x:c>
      <x:c r="B9" s="6" t="n">
        <x:f>B8*(1+'Assumptions'!$C$7)</x:f>
        <x:v>2315.25</x:v>
      </x:c>
      <x:c r="C9" s="6" t="n">
        <x:f>SUM(B$6:B9)</x:f>
        <x:v>8620.25</x:v>
      </x:c>
      <x:c r="D9" s="6" t="n">
        <x:f>B9*'Retention'!C6+B8*'Retention'!C7+B7*'Retention'!C8+B6*'Retention'!C9</x:f>
        <x:v>3252.975</x:v>
      </x:c>
      <x:c r="E9" s="6" t="n">
        <x:f>D9*'Assumptions'!$C$15</x:f>
        <x:v>650.595</x:v>
      </x:c>
      <x:c r="F9" s="6" t="n">
        <x:f>IF(A9&gt;'Assumptions'!$C$30,INDEX(B$6:B$29,A9-'Assumptions'!$C$30),0)*'Assumptions'!$C$8</x:f>
        <x:v>33.074999999999996</x:v>
      </x:c>
      <x:c r="G9" s="6" t="n">
        <x:f>IF(A9&gt;'Assumptions'!$C$30,INDEX(B$6:B$29,A9-'Assumptions'!$C$30),0)*'Assumptions'!$C$10</x:f>
        <x:v>44.1</x:v>
      </x:c>
      <x:c r="H9" s="6" t="n">
        <x:f>F9*'Assumptions'!$C$9+G9*'Assumptions'!$C$11</x:f>
        <x:v>451.25325</x:v>
      </x:c>
      <x:c r="I9" s="6" t="n">
        <x:f>H9-H9/(1+'Assumptions'!$C$12)</x:f>
        <x:v>75.20887499999998</x:v>
      </x:c>
      <x:c r="J9" s="6" t="n">
        <x:f>(H9-I9)*'Assumptions'!$C$13</x:f>
        <x:v>11.28133125</x:v>
      </x:c>
      <x:c r="K9" s="6" t="n">
        <x:f>(H9-I9-J9)*'Assumptions'!$C$14</x:f>
        <x:v>54.7144565625</x:v>
      </x:c>
      <x:c r="L9" s="6" t="n">
        <x:f>H9-SUM(I9:K9)</x:f>
        <x:v>310.0485871875</x:v>
      </x:c>
      <x:c r="M9" s="6" t="n">
        <x:f>E9*'Assumptions'!$C$19*'Assumptions'!$C$17*'Assumptions'!$C$18/1000*'Assumptions'!$C$16</x:f>
        <x:v>0</x:v>
      </x:c>
      <x:c r="N9" s="6" t="n">
        <x:f>SUM(L9:M9)</x:f>
        <x:v>310.0485871875</x:v>
      </x:c>
      <x:c r="O9" s="6" t="n">
        <x:f>'Assumptions'!$C$20+D9/1000*'Assumptions'!$C$21</x:f>
        <x:v>89.758925</x:v>
      </x:c>
      <x:c r="P9" s="6" t="n">
        <x:f>'Assumptions'!$C$22</x:f>
        <x:v>50</x:v>
      </x:c>
      <x:c r="Q9" s="6" t="n">
        <x:f>'Assumptions'!$C$23</x:f>
        <x:v>0</x:v>
      </x:c>
      <x:c r="R9" s="6" t="n">
        <x:f>SUM(O9:Q9)</x:f>
        <x:v>139.758925</x:v>
      </x:c>
      <x:c r="S9" s="6" t="n">
        <x:f>N9-R9</x:f>
        <x:v>170.2896621875</x:v>
      </x:c>
      <x:c r="T9" s="6" t="n">
        <x:f>IF(A9&gt;'Assumptions'!$C$31,INDEX(N$6:N$29,A9-'Assumptions'!$C$31),0)</x:f>
        <x:v>295.28436875</x:v>
      </x:c>
      <x:c r="U9" s="6" t="n">
        <x:f>'Assumptions'!$C$29-'Assumptions'!$C$27-'Assumptions'!$C$28+SUM(T$6:T9)-SUM(R$6:R9)</x:f>
        <x:v>-504.42984791666663</x:v>
      </x:c>
      <x:c r="V9" s="6" t="n">
        <x:f>'Assumptions'!$C$24*'Assumptions'!$C$25</x:f>
        <x:v>800</x:v>
      </x:c>
      <x:c r="W9" s="6" t="n">
        <x:f>SUM(S$6:S9)-SUM(V$6:V9)-'Assumptions'!$C$27-'Assumptions'!$C$28-'Assumptions'!$C$26*'Assumptions'!$C$25</x:f>
        <x:v>-43394.38126072917</x:v>
      </x:c>
    </x:row>
    <x:row r="10" ht="22" customHeight="1">
      <x:c r="A10" s="46" t="n">
        <x:f>5</x:f>
        <x:v>5</x:v>
      </x:c>
      <x:c r="B10" s="6" t="n">
        <x:f>B9*(1+'Assumptions'!$C$7)</x:f>
        <x:v>2431.0125000000003</x:v>
      </x:c>
      <x:c r="C10" s="6" t="n">
        <x:f>SUM(B$6:B10)</x:f>
        <x:v>11051.2625</x:v>
      </x:c>
      <x:c r="D10" s="6" t="n">
        <x:f>B10*'Retention'!C6+B9*'Retention'!C7+B8*'Retention'!C8+B7*'Retention'!C9+B6*'Retention'!C10</x:f>
        <x:v>3646.0237500000003</x:v>
      </x:c>
      <x:c r="E10" s="6" t="n">
        <x:f>D10*'Assumptions'!$C$15</x:f>
        <x:v>729.2047500000001</x:v>
      </x:c>
      <x:c r="F10" s="6" t="n">
        <x:f>IF(A10&gt;'Assumptions'!$C$30,INDEX(B$6:B$29,A10-'Assumptions'!$C$30),0)*'Assumptions'!$C$8</x:f>
        <x:v>34.72875</x:v>
      </x:c>
      <x:c r="G10" s="6" t="n">
        <x:f>IF(A10&gt;'Assumptions'!$C$30,INDEX(B$6:B$29,A10-'Assumptions'!$C$30),0)*'Assumptions'!$C$10</x:f>
        <x:v>46.305</x:v>
      </x:c>
      <x:c r="H10" s="6" t="n">
        <x:f>F10*'Assumptions'!$C$9+G10*'Assumptions'!$C$11</x:f>
        <x:v>473.81591249999997</x:v>
      </x:c>
      <x:c r="I10" s="6" t="n">
        <x:f>H10-H10/(1+'Assumptions'!$C$12)</x:f>
        <x:v>78.96931874999996</x:v>
      </x:c>
      <x:c r="J10" s="6" t="n">
        <x:f>(H10-I10)*'Assumptions'!$C$13</x:f>
        <x:v>11.8453978125</x:v>
      </x:c>
      <x:c r="K10" s="6" t="n">
        <x:f>(H10-I10-J10)*'Assumptions'!$C$14</x:f>
        <x:v>57.450179390625</x:v>
      </x:c>
      <x:c r="L10" s="6" t="n">
        <x:f>H10-SUM(I10:K10)</x:f>
        <x:v>325.551016546875</x:v>
      </x:c>
      <x:c r="M10" s="6" t="n">
        <x:f>E10*'Assumptions'!$C$19*'Assumptions'!$C$17*'Assumptions'!$C$18/1000*'Assumptions'!$C$16</x:f>
        <x:v>0</x:v>
      </x:c>
      <x:c r="N10" s="6" t="n">
        <x:f>SUM(L10:M10)</x:f>
        <x:v>325.551016546875</x:v>
      </x:c>
      <x:c r="O10" s="6" t="n">
        <x:f>'Assumptions'!$C$20+D10/1000*'Assumptions'!$C$21</x:f>
        <x:v>90.93807125000001</x:v>
      </x:c>
      <x:c r="P10" s="6" t="n">
        <x:f>'Assumptions'!$C$22</x:f>
        <x:v>50</x:v>
      </x:c>
      <x:c r="Q10" s="6" t="n">
        <x:f>'Assumptions'!$C$23</x:f>
        <x:v>0</x:v>
      </x:c>
      <x:c r="R10" s="6" t="n">
        <x:f>SUM(O10:Q10)</x:f>
        <x:v>140.93807125</x:v>
      </x:c>
      <x:c r="S10" s="6" t="n">
        <x:f>N10-R10</x:f>
        <x:v>184.612945296875</x:v>
      </x:c>
      <x:c r="T10" s="6" t="n">
        <x:f>IF(A10&gt;'Assumptions'!$C$31,INDEX(N$6:N$29,A10-'Assumptions'!$C$31),0)</x:f>
        <x:v>310.0485871875</x:v>
      </x:c>
      <x:c r="U10" s="6" t="n">
        <x:f>'Assumptions'!$C$29-'Assumptions'!$C$27-'Assumptions'!$C$28+SUM(T$6:T10)-SUM(R$6:R10)</x:f>
        <x:v>-335.3193319791666</x:v>
      </x:c>
      <x:c r="V10" s="6" t="n">
        <x:f>'Assumptions'!$C$24*'Assumptions'!$C$25</x:f>
        <x:v>800</x:v>
      </x:c>
      <x:c r="W10" s="6" t="n">
        <x:f>SUM(S$6:S10)-SUM(V$6:V10)-'Assumptions'!$C$27-'Assumptions'!$C$28-'Assumptions'!$C$26*'Assumptions'!$C$25</x:f>
        <x:v>-44009.76831543229</x:v>
      </x:c>
    </x:row>
    <x:row r="11" ht="22" customHeight="1">
      <x:c r="A11" s="46" t="n">
        <x:f>6</x:f>
        <x:v>6</x:v>
      </x:c>
      <x:c r="B11" s="6" t="n">
        <x:f>B10*(1+'Assumptions'!$C$7)</x:f>
        <x:v>2552.5631250000006</x:v>
      </x:c>
      <x:c r="C11" s="6" t="n">
        <x:f>SUM(B$6:B11)</x:f>
        <x:v>13603.825625000001</x:v>
      </x:c>
      <x:c r="D11" s="6" t="n">
        <x:f>B11*'Retention'!C6+B10*'Retention'!C7+B9*'Retention'!C8+B8*'Retention'!C9+B7*'Retention'!C10+B6*'Retention'!C11</x:f>
        <x:v>4049.5089375000007</x:v>
      </x:c>
      <x:c r="E11" s="6" t="n">
        <x:f>D11*'Assumptions'!$C$15</x:f>
        <x:v>809.9017875000002</x:v>
      </x:c>
      <x:c r="F11" s="6" t="n">
        <x:f>IF(A11&gt;'Assumptions'!$C$30,INDEX(B$6:B$29,A11-'Assumptions'!$C$30),0)*'Assumptions'!$C$8</x:f>
        <x:v>36.465187500000006</x:v>
      </x:c>
      <x:c r="G11" s="6" t="n">
        <x:f>IF(A11&gt;'Assumptions'!$C$30,INDEX(B$6:B$29,A11-'Assumptions'!$C$30),0)*'Assumptions'!$C$10</x:f>
        <x:v>48.620250000000006</x:v>
      </x:c>
      <x:c r="H11" s="6" t="n">
        <x:f>F11*'Assumptions'!$C$9+G11*'Assumptions'!$C$11</x:f>
        <x:v>497.50670812500005</x:v>
      </x:c>
      <x:c r="I11" s="6" t="n">
        <x:f>H11-H11/(1+'Assumptions'!$C$12)</x:f>
        <x:v>82.91778468749999</x:v>
      </x:c>
      <x:c r="J11" s="6" t="n">
        <x:f>(H11-I11)*'Assumptions'!$C$13</x:f>
        <x:v>12.437667703125001</x:v>
      </x:c>
      <x:c r="K11" s="6" t="n">
        <x:f>(H11-I11-J11)*'Assumptions'!$C$14</x:f>
        <x:v>60.322688360156256</x:v>
      </x:c>
      <x:c r="L11" s="6" t="n">
        <x:f>H11-SUM(I11:K11)</x:f>
        <x:v>341.8285673742188</x:v>
      </x:c>
      <x:c r="M11" s="6" t="n">
        <x:f>E11*'Assumptions'!$C$19*'Assumptions'!$C$17*'Assumptions'!$C$18/1000*'Assumptions'!$C$16</x:f>
        <x:v>0</x:v>
      </x:c>
      <x:c r="N11" s="6" t="n">
        <x:f>SUM(L11:M11)</x:f>
        <x:v>341.8285673742188</x:v>
      </x:c>
      <x:c r="O11" s="6" t="n">
        <x:f>'Assumptions'!$C$20+D11/1000*'Assumptions'!$C$21</x:f>
        <x:v>92.1485268125</x:v>
      </x:c>
      <x:c r="P11" s="6" t="n">
        <x:f>'Assumptions'!$C$22</x:f>
        <x:v>50</x:v>
      </x:c>
      <x:c r="Q11" s="6" t="n">
        <x:f>'Assumptions'!$C$23</x:f>
        <x:v>0</x:v>
      </x:c>
      <x:c r="R11" s="6" t="n">
        <x:f>SUM(O11:Q11)</x:f>
        <x:v>142.1485268125</x:v>
      </x:c>
      <x:c r="S11" s="6" t="n">
        <x:f>N11-R11</x:f>
        <x:v>199.68004056171878</x:v>
      </x:c>
      <x:c r="T11" s="6" t="n">
        <x:f>IF(A11&gt;'Assumptions'!$C$31,INDEX(N$6:N$29,A11-'Assumptions'!$C$31),0)</x:f>
        <x:v>325.551016546875</x:v>
      </x:c>
      <x:c r="U11" s="6" t="n">
        <x:f>'Assumptions'!$C$29-'Assumptions'!$C$27-'Assumptions'!$C$28+SUM(T$6:T11)-SUM(R$6:R11)</x:f>
        <x:v>-151.9168422447916</x:v>
      </x:c>
      <x:c r="V11" s="6" t="n">
        <x:f>'Assumptions'!$C$24*'Assumptions'!$C$25</x:f>
        <x:v>800</x:v>
      </x:c>
      <x:c r="W11" s="6" t="n">
        <x:f>SUM(S$6:S11)-SUM(V$6:V11)-'Assumptions'!$C$27-'Assumptions'!$C$28-'Assumptions'!$C$26*'Assumptions'!$C$25</x:f>
        <x:v>-44610.08827487057</x:v>
      </x:c>
    </x:row>
    <x:row r="12" ht="22" customHeight="1">
      <x:c r="A12" s="46" t="n">
        <x:f>7</x:f>
        <x:v>7</x:v>
      </x:c>
      <x:c r="B12" s="6" t="n">
        <x:f>B11*(1+'Assumptions'!$C$7)</x:f>
        <x:v>2680.191281250001</x:v>
      </x:c>
      <x:c r="C12" s="6" t="n">
        <x:f>SUM(B$6:B12)</x:f>
        <x:v>16284.016906250003</x:v>
      </x:c>
      <x:c r="D12" s="6" t="n">
        <x:f>B12*'Retention'!C6+B11*'Retention'!C7+B10*'Retention'!C8+B9*'Retention'!C9+B8*'Retention'!C10+B7*'Retention'!C11+B6*'Retention'!C12</x:f>
        <x:v>4464.321024375002</x:v>
      </x:c>
      <x:c r="E12" s="6" t="n">
        <x:f>D12*'Assumptions'!$C$15</x:f>
        <x:v>892.8642048750004</x:v>
      </x:c>
      <x:c r="F12" s="6" t="n">
        <x:f>IF(A12&gt;'Assumptions'!$C$30,INDEX(B$6:B$29,A12-'Assumptions'!$C$30),0)*'Assumptions'!$C$8</x:f>
        <x:v>38.288446875000005</x:v>
      </x:c>
      <x:c r="G12" s="6" t="n">
        <x:f>IF(A12&gt;'Assumptions'!$C$30,INDEX(B$6:B$29,A12-'Assumptions'!$C$30),0)*'Assumptions'!$C$10</x:f>
        <x:v>51.051262500000014</x:v>
      </x:c>
      <x:c r="H12" s="6" t="n">
        <x:f>F12*'Assumptions'!$C$9+G12*'Assumptions'!$C$11</x:f>
        <x:v>522.3820435312501</x:v>
      </x:c>
      <x:c r="I12" s="6" t="n">
        <x:f>H12-H12/(1+'Assumptions'!$C$12)</x:f>
        <x:v>87.06367392187502</x:v>
      </x:c>
      <x:c r="J12" s="6" t="n">
        <x:f>(H12-I12)*'Assumptions'!$C$13</x:f>
        <x:v>13.059551088281253</x:v>
      </x:c>
      <x:c r="K12" s="6" t="n">
        <x:f>(H12-I12-J12)*'Assumptions'!$C$14</x:f>
        <x:v>63.33882277816408</x:v>
      </x:c>
      <x:c r="L12" s="6" t="n">
        <x:f>H12-SUM(I12:K12)</x:f>
        <x:v>358.9199957429298</x:v>
      </x:c>
      <x:c r="M12" s="6" t="n">
        <x:f>E12*'Assumptions'!$C$19*'Assumptions'!$C$17*'Assumptions'!$C$18/1000*'Assumptions'!$C$16</x:f>
        <x:v>0</x:v>
      </x:c>
      <x:c r="N12" s="6" t="n">
        <x:f>SUM(L12:M12)</x:f>
        <x:v>358.9199957429298</x:v>
      </x:c>
      <x:c r="O12" s="6" t="n">
        <x:f>'Assumptions'!$C$20+D12/1000*'Assumptions'!$C$21</x:f>
        <x:v>93.392963073125</x:v>
      </x:c>
      <x:c r="P12" s="6" t="n">
        <x:f>'Assumptions'!$C$22</x:f>
        <x:v>50</x:v>
      </x:c>
      <x:c r="Q12" s="6" t="n">
        <x:f>'Assumptions'!$C$23</x:f>
        <x:v>0</x:v>
      </x:c>
      <x:c r="R12" s="6" t="n">
        <x:f>SUM(O12:Q12)</x:f>
        <x:v>143.392963073125</x:v>
      </x:c>
      <x:c r="S12" s="6" t="n">
        <x:f>N12-R12</x:f>
        <x:v>215.5270326698048</x:v>
      </x:c>
      <x:c r="T12" s="6" t="n">
        <x:f>IF(A12&gt;'Assumptions'!$C$31,INDEX(N$6:N$29,A12-'Assumptions'!$C$31),0)</x:f>
        <x:v>341.8285673742188</x:v>
      </x:c>
      <x:c r="U12" s="6" t="n">
        <x:f>'Assumptions'!$C$29-'Assumptions'!$C$27-'Assumptions'!$C$28+SUM(T$6:T12)-SUM(R$6:R12)</x:f>
        <x:v>46.51876205630231</x:v>
      </x:c>
      <x:c r="V12" s="6" t="n">
        <x:f>'Assumptions'!$C$24*'Assumptions'!$C$25</x:f>
        <x:v>800</x:v>
      </x:c>
      <x:c r="W12" s="6" t="n">
        <x:f>SUM(S$6:S12)-SUM(V$6:V12)-'Assumptions'!$C$27-'Assumptions'!$C$28-'Assumptions'!$C$26*'Assumptions'!$C$25</x:f>
        <x:v>-45194.56124220077</x:v>
      </x:c>
    </x:row>
    <x:row r="13" ht="22" customHeight="1">
      <x:c r="A13" s="46" t="n">
        <x:f>8</x:f>
        <x:v>8</x:v>
      </x:c>
      <x:c r="B13" s="6" t="n">
        <x:f>B12*(1+'Assumptions'!$C$7)</x:f>
        <x:v>2814.200845312501</x:v>
      </x:c>
      <x:c r="C13" s="6" t="n">
        <x:f>SUM(B$6:B13)</x:f>
        <x:v>19098.217751562504</x:v>
      </x:c>
      <x:c r="D13" s="6" t="n">
        <x:f>B13*'Retention'!C6+B12*'Retention'!C7+B11*'Retention'!C8+B10*'Retention'!C9+B9*'Retention'!C10+B8*'Retention'!C11+B7*'Retention'!C12+B6*'Retention'!C13</x:f>
        <x:v>4891.380249993751</x:v>
      </x:c>
      <x:c r="E13" s="6" t="n">
        <x:f>D13*'Assumptions'!$C$15</x:f>
        <x:v>978.2760499987503</x:v>
      </x:c>
      <x:c r="F13" s="6" t="n">
        <x:f>IF(A13&gt;'Assumptions'!$C$30,INDEX(B$6:B$29,A13-'Assumptions'!$C$30),0)*'Assumptions'!$C$8</x:f>
        <x:v>40.20286921875001</x:v>
      </x:c>
      <x:c r="G13" s="6" t="n">
        <x:f>IF(A13&gt;'Assumptions'!$C$30,INDEX(B$6:B$29,A13-'Assumptions'!$C$30),0)*'Assumptions'!$C$10</x:f>
        <x:v>53.60382562500002</x:v>
      </x:c>
      <x:c r="H13" s="6" t="n">
        <x:f>F13*'Assumptions'!$C$9+G13*'Assumptions'!$C$11</x:f>
        <x:v>548.5011457078126</x:v>
      </x:c>
      <x:c r="I13" s="6" t="n">
        <x:f>H13-H13/(1+'Assumptions'!$C$12)</x:f>
        <x:v>91.41685761796873</x:v>
      </x:c>
      <x:c r="J13" s="6" t="n">
        <x:f>(H13-I13)*'Assumptions'!$C$13</x:f>
        <x:v>13.712528642695316</x:v>
      </x:c>
      <x:c r="K13" s="6" t="n">
        <x:f>(H13-I13-J13)*'Assumptions'!$C$14</x:f>
        <x:v>66.50576391707229</x:v>
      </x:c>
      <x:c r="L13" s="6" t="n">
        <x:f>H13-SUM(I13:K13)</x:f>
        <x:v>376.86599553007625</x:v>
      </x:c>
      <x:c r="M13" s="6" t="n">
        <x:f>E13*'Assumptions'!$C$19*'Assumptions'!$C$17*'Assumptions'!$C$18/1000*'Assumptions'!$C$16</x:f>
        <x:v>0</x:v>
      </x:c>
      <x:c r="N13" s="6" t="n">
        <x:f>SUM(L13:M13)</x:f>
        <x:v>376.86599553007625</x:v>
      </x:c>
      <x:c r="O13" s="6" t="n">
        <x:f>'Assumptions'!$C$20+D13/1000*'Assumptions'!$C$21</x:f>
        <x:v>94.67414074998125</x:v>
      </x:c>
      <x:c r="P13" s="6" t="n">
        <x:f>'Assumptions'!$C$22</x:f>
        <x:v>50</x:v>
      </x:c>
      <x:c r="Q13" s="6" t="n">
        <x:f>'Assumptions'!$C$23</x:f>
        <x:v>0</x:v>
      </x:c>
      <x:c r="R13" s="6" t="n">
        <x:f>SUM(O13:Q13)</x:f>
        <x:v>144.67414074998123</x:v>
      </x:c>
      <x:c r="S13" s="6" t="n">
        <x:f>N13-R13</x:f>
        <x:v>232.191854780095</x:v>
      </x:c>
      <x:c r="T13" s="6" t="n">
        <x:f>IF(A13&gt;'Assumptions'!$C$31,INDEX(N$6:N$29,A13-'Assumptions'!$C$31),0)</x:f>
        <x:v>358.9199957429298</x:v>
      </x:c>
      <x:c r="U13" s="6" t="n">
        <x:f>'Assumptions'!$C$29-'Assumptions'!$C$27-'Assumptions'!$C$28+SUM(T$6:T13)-SUM(R$6:R13)</x:f>
        <x:v>260.764617049251</x:v>
      </x:c>
      <x:c r="V13" s="6" t="n">
        <x:f>'Assumptions'!$C$24*'Assumptions'!$C$25</x:f>
        <x:v>800</x:v>
      </x:c>
      <x:c r="W13" s="6" t="n">
        <x:f>SUM(S$6:S13)-SUM(V$6:V13)-'Assumptions'!$C$27-'Assumptions'!$C$28-'Assumptions'!$C$26*'Assumptions'!$C$25</x:f>
        <x:v>-45762.36938742067</x:v>
      </x:c>
    </x:row>
    <x:row r="14" ht="22" customHeight="1">
      <x:c r="A14" s="46" t="n">
        <x:f>9</x:f>
        <x:v>9</x:v>
      </x:c>
      <x:c r="B14" s="6" t="n">
        <x:f>B13*(1+'Assumptions'!$C$7)</x:f>
        <x:v>2954.910887578126</x:v>
      </x:c>
      <x:c r="C14" s="6" t="n">
        <x:f>SUM(B$6:B14)</x:f>
        <x:v>22053.128639140632</x:v>
      </x:c>
      <x:c r="D14" s="6" t="n">
        <x:f>B14*'Retention'!C6+B13*'Retention'!C7+B12*'Retention'!C8+B11*'Retention'!C9+B10*'Retention'!C10+B9*'Retention'!C11+B8*'Retention'!C12+B7*'Retention'!C13+B6*'Retention'!C14</x:f>
        <x:v>5331.638709917439</x:v>
      </x:c>
      <x:c r="E14" s="6" t="n">
        <x:f>D14*'Assumptions'!$C$15</x:f>
        <x:v>1066.3277419834878</x:v>
      </x:c>
      <x:c r="F14" s="6" t="n">
        <x:f>IF(A14&gt;'Assumptions'!$C$30,INDEX(B$6:B$29,A14-'Assumptions'!$C$30),0)*'Assumptions'!$C$8</x:f>
        <x:v>42.21301267968751</x:v>
      </x:c>
      <x:c r="G14" s="6" t="n">
        <x:f>IF(A14&gt;'Assumptions'!$C$30,INDEX(B$6:B$29,A14-'Assumptions'!$C$30),0)*'Assumptions'!$C$10</x:f>
        <x:v>56.28401690625002</x:v>
      </x:c>
      <x:c r="H14" s="6" t="n">
        <x:f>F14*'Assumptions'!$C$9+G14*'Assumptions'!$C$11</x:f>
        <x:v>575.9262029932033</x:v>
      </x:c>
      <x:c r="I14" s="6" t="n">
        <x:f>H14-H14/(1+'Assumptions'!$C$12)</x:f>
        <x:v>95.98770049886718</x:v>
      </x:c>
      <x:c r="J14" s="6" t="n">
        <x:f>(H14-I14)*'Assumptions'!$C$13</x:f>
        <x:v>14.398155074830084</x:v>
      </x:c>
      <x:c r="K14" s="6" t="n">
        <x:f>(H14-I14-J14)*'Assumptions'!$C$14</x:f>
        <x:v>69.8310521129259</x:v>
      </x:c>
      <x:c r="L14" s="6" t="n">
        <x:f>H14-SUM(I14:K14)</x:f>
        <x:v>395.70929530658015</x:v>
      </x:c>
      <x:c r="M14" s="6" t="n">
        <x:f>E14*'Assumptions'!$C$19*'Assumptions'!$C$17*'Assumptions'!$C$18/1000*'Assumptions'!$C$16</x:f>
        <x:v>0</x:v>
      </x:c>
      <x:c r="N14" s="6" t="n">
        <x:f>SUM(L14:M14)</x:f>
        <x:v>395.70929530658015</x:v>
      </x:c>
      <x:c r="O14" s="6" t="n">
        <x:f>'Assumptions'!$C$20+D14/1000*'Assumptions'!$C$21</x:f>
        <x:v>95.99491612975231</x:v>
      </x:c>
      <x:c r="P14" s="6" t="n">
        <x:f>'Assumptions'!$C$22</x:f>
        <x:v>50</x:v>
      </x:c>
      <x:c r="Q14" s="6" t="n">
        <x:f>'Assumptions'!$C$23</x:f>
        <x:v>0</x:v>
      </x:c>
      <x:c r="R14" s="6" t="n">
        <x:f>SUM(O14:Q14)</x:f>
        <x:v>145.9949161297523</x:v>
      </x:c>
      <x:c r="S14" s="6" t="n">
        <x:f>N14-R14</x:f>
        <x:v>249.71437917682783</x:v>
      </x:c>
      <x:c r="T14" s="6" t="n">
        <x:f>IF(A14&gt;'Assumptions'!$C$31,INDEX(N$6:N$29,A14-'Assumptions'!$C$31),0)</x:f>
        <x:v>376.86599553007625</x:v>
      </x:c>
      <x:c r="U14" s="6" t="n">
        <x:f>'Assumptions'!$C$29-'Assumptions'!$C$27-'Assumptions'!$C$28+SUM(T$6:T14)-SUM(R$6:R14)</x:f>
        <x:v>491.6356964495749</x:v>
      </x:c>
      <x:c r="V14" s="6" t="n">
        <x:f>'Assumptions'!$C$24*'Assumptions'!$C$25</x:f>
        <x:v>800</x:v>
      </x:c>
      <x:c r="W14" s="6" t="n">
        <x:f>SUM(S$6:S14)-SUM(V$6:V14)-'Assumptions'!$C$27-'Assumptions'!$C$28-'Assumptions'!$C$26*'Assumptions'!$C$25</x:f>
        <x:v>-46312.65500824385</x:v>
      </x:c>
    </x:row>
    <x:row r="15" ht="22" customHeight="1">
      <x:c r="A15" s="46" t="n">
        <x:f>10</x:f>
        <x:v>10</x:v>
      </x:c>
      <x:c r="B15" s="6" t="n">
        <x:f>B14*(1+'Assumptions'!$C$7)</x:f>
        <x:v>3102.6564319570325</x:v>
      </x:c>
      <x:c r="C15" s="6" t="n">
        <x:f>SUM(B$6:B15)</x:f>
        <x:v>25155.785071097664</x:v>
      </x:c>
      <x:c r="D15" s="6" t="n">
        <x:f>B15*'Retention'!C6+B14*'Retention'!C7+B13*'Retention'!C8+B12*'Retention'!C9+B11*'Retention'!C10+B10*'Retention'!C11+B9*'Retention'!C12+B8*'Retention'!C13+B7*'Retention'!C14+B6*'Retention'!C15</x:f>
        <x:v>5786.082514940351</x:v>
      </x:c>
      <x:c r="E15" s="6" t="n">
        <x:f>D15*'Assumptions'!$C$15</x:f>
        <x:v>1157.2165029880703</x:v>
      </x:c>
      <x:c r="F15" s="6" t="n">
        <x:f>IF(A15&gt;'Assumptions'!$C$30,INDEX(B$6:B$29,A15-'Assumptions'!$C$30),0)*'Assumptions'!$C$8</x:f>
        <x:v>44.323663313671894</x:v>
      </x:c>
      <x:c r="G15" s="6" t="n">
        <x:f>IF(A15&gt;'Assumptions'!$C$30,INDEX(B$6:B$29,A15-'Assumptions'!$C$30),0)*'Assumptions'!$C$10</x:f>
        <x:v>59.09821775156252</x:v>
      </x:c>
      <x:c r="H15" s="6" t="n">
        <x:f>F15*'Assumptions'!$C$9+G15*'Assumptions'!$C$11</x:f>
        <x:v>604.7225131428636</x:v>
      </x:c>
      <x:c r="I15" s="6" t="n">
        <x:f>H15-H15/(1+'Assumptions'!$C$12)</x:f>
        <x:v>100.78708552381056</x:v>
      </x:c>
      <x:c r="J15" s="6" t="n">
        <x:f>(H15-I15)*'Assumptions'!$C$13</x:f>
        <x:v>15.11806282857159</x:v>
      </x:c>
      <x:c r="K15" s="6" t="n">
        <x:f>(H15-I15-J15)*'Assumptions'!$C$14</x:f>
        <x:v>73.32260471857222</x:v>
      </x:c>
      <x:c r="L15" s="6" t="n">
        <x:f>H15-SUM(I15:K15)</x:f>
        <x:v>415.49476007190924</x:v>
      </x:c>
      <x:c r="M15" s="6" t="n">
        <x:f>E15*'Assumptions'!$C$19*'Assumptions'!$C$17*'Assumptions'!$C$18/1000*'Assumptions'!$C$16</x:f>
        <x:v>0</x:v>
      </x:c>
      <x:c r="N15" s="6" t="n">
        <x:f>SUM(L15:M15)</x:f>
        <x:v>415.49476007190924</x:v>
      </x:c>
      <x:c r="O15" s="6" t="n">
        <x:f>'Assumptions'!$C$20+D15/1000*'Assumptions'!$C$21</x:f>
        <x:v>97.35824754482105</x:v>
      </x:c>
      <x:c r="P15" s="6" t="n">
        <x:f>'Assumptions'!$C$22</x:f>
        <x:v>50</x:v>
      </x:c>
      <x:c r="Q15" s="6" t="n">
        <x:f>'Assumptions'!$C$23</x:f>
        <x:v>0</x:v>
      </x:c>
      <x:c r="R15" s="6" t="n">
        <x:f>SUM(O15:Q15)</x:f>
        <x:v>147.35824754482104</x:v>
      </x:c>
      <x:c r="S15" s="6" t="n">
        <x:f>N15-R15</x:f>
        <x:v>268.1365125270882</x:v>
      </x:c>
      <x:c r="T15" s="6" t="n">
        <x:f>IF(A15&gt;'Assumptions'!$C$31,INDEX(N$6:N$29,A15-'Assumptions'!$C$31),0)</x:f>
        <x:v>395.70929530658015</x:v>
      </x:c>
      <x:c r="U15" s="6" t="n">
        <x:f>'Assumptions'!$C$29-'Assumptions'!$C$27-'Assumptions'!$C$28+SUM(T$6:T15)-SUM(R$6:R15)</x:f>
        <x:v>739.9867442113341</x:v>
      </x:c>
      <x:c r="V15" s="6" t="n">
        <x:f>'Assumptions'!$C$24*'Assumptions'!$C$25</x:f>
        <x:v>800</x:v>
      </x:c>
      <x:c r="W15" s="6" t="n">
        <x:f>SUM(S$6:S15)-SUM(V$6:V15)-'Assumptions'!$C$27-'Assumptions'!$C$28-'Assumptions'!$C$26*'Assumptions'!$C$25</x:f>
        <x:v>-46844.51849571676</x:v>
      </x:c>
    </x:row>
    <x:row r="16" ht="22" customHeight="1">
      <x:c r="A16" s="46" t="n">
        <x:f>11</x:f>
        <x:v>11</x:v>
      </x:c>
      <x:c r="B16" s="6" t="n">
        <x:f>B15*(1+'Assumptions'!$C$7)</x:f>
        <x:v>3257.7892535548845</x:v>
      </x:c>
      <x:c r="C16" s="6" t="n">
        <x:f>SUM(B$6:B16)</x:f>
        <x:v>28413.57432465255</x:v>
      </x:c>
      <x:c r="D16" s="6" t="n">
        <x:f>B16*'Retention'!C6+B15*'Retention'!C7+B14*'Retention'!C8+B13*'Retention'!C9+B12*'Retention'!C10+B11*'Retention'!C11+B10*'Retention'!C12+B9*'Retention'!C13+B8*'Retention'!C14+B7*'Retention'!C15+B6*'Retention'!C16</x:f>
        <x:v>6255.734035433326</x:v>
      </x:c>
      <x:c r="E16" s="6" t="n">
        <x:f>D16*'Assumptions'!$C$15</x:f>
        <x:v>1251.1468070866654</x:v>
      </x:c>
      <x:c r="F16" s="6" t="n">
        <x:f>IF(A16&gt;'Assumptions'!$C$30,INDEX(B$6:B$29,A16-'Assumptions'!$C$30),0)*'Assumptions'!$C$8</x:f>
        <x:v>46.53984647935549</x:v>
      </x:c>
      <x:c r="G16" s="6" t="n">
        <x:f>IF(A16&gt;'Assumptions'!$C$30,INDEX(B$6:B$29,A16-'Assumptions'!$C$30),0)*'Assumptions'!$C$10</x:f>
        <x:v>62.05312863914065</x:v>
      </x:c>
      <x:c r="H16" s="6" t="n">
        <x:f>F16*'Assumptions'!$C$9+G16*'Assumptions'!$C$11</x:f>
        <x:v>634.9586388000068</x:v>
      </x:c>
      <x:c r="I16" s="6" t="n">
        <x:f>H16-H16/(1+'Assumptions'!$C$12)</x:f>
        <x:v>105.82643980000114</x:v>
      </x:c>
      <x:c r="J16" s="6" t="n">
        <x:f>(H16-I16)*'Assumptions'!$C$13</x:f>
        <x:v>15.873965970000171</x:v>
      </x:c>
      <x:c r="K16" s="6" t="n">
        <x:f>(H16-I16-J16)*'Assumptions'!$C$14</x:f>
        <x:v>76.98873495450083</x:v>
      </x:c>
      <x:c r="L16" s="6" t="n">
        <x:f>H16-SUM(I16:K16)</x:f>
        <x:v>436.2694980755047</x:v>
      </x:c>
      <x:c r="M16" s="6" t="n">
        <x:f>E16*'Assumptions'!$C$19*'Assumptions'!$C$17*'Assumptions'!$C$18/1000*'Assumptions'!$C$16</x:f>
        <x:v>0</x:v>
      </x:c>
      <x:c r="N16" s="6" t="n">
        <x:f>SUM(L16:M16)</x:f>
        <x:v>436.2694980755047</x:v>
      </x:c>
      <x:c r="O16" s="6" t="n">
        <x:f>'Assumptions'!$C$20+D16/1000*'Assumptions'!$C$21</x:f>
        <x:v>98.76720210629998</x:v>
      </x:c>
      <x:c r="P16" s="6" t="n">
        <x:f>'Assumptions'!$C$22</x:f>
        <x:v>50</x:v>
      </x:c>
      <x:c r="Q16" s="6" t="n">
        <x:f>'Assumptions'!$C$23</x:f>
        <x:v>0</x:v>
      </x:c>
      <x:c r="R16" s="6" t="n">
        <x:f>SUM(O16:Q16)</x:f>
        <x:v>148.76720210629998</x:v>
      </x:c>
      <x:c r="S16" s="6" t="n">
        <x:f>N16-R16</x:f>
        <x:v>287.50229596920474</x:v>
      </x:c>
      <x:c r="T16" s="6" t="n">
        <x:f>IF(A16&gt;'Assumptions'!$C$31,INDEX(N$6:N$29,A16-'Assumptions'!$C$31),0)</x:f>
        <x:v>415.49476007190924</x:v>
      </x:c>
      <x:c r="U16" s="6" t="n">
        <x:f>'Assumptions'!$C$29-'Assumptions'!$C$27-'Assumptions'!$C$28+SUM(T$6:T16)-SUM(R$6:R16)</x:f>
        <x:v>1006.7143021769434</x:v>
      </x:c>
      <x:c r="V16" s="6" t="n">
        <x:f>'Assumptions'!$C$24*'Assumptions'!$C$25</x:f>
        <x:v>800</x:v>
      </x:c>
      <x:c r="W16" s="6" t="n">
        <x:f>SUM(S$6:S16)-SUM(V$6:V16)-'Assumptions'!$C$27-'Assumptions'!$C$28-'Assumptions'!$C$26*'Assumptions'!$C$25</x:f>
        <x:v>-47357.01619974755</x:v>
      </x:c>
    </x:row>
    <x:row r="17" ht="22" customHeight="1">
      <x:c r="A17" s="46" t="n">
        <x:f>12</x:f>
        <x:v>12</x:v>
      </x:c>
      <x:c r="B17" s="6" t="n">
        <x:f>B16*(1+'Assumptions'!$C$7)</x:f>
        <x:v>3420.6787162326286</x:v>
      </x:c>
      <x:c r="C17" s="6" t="n">
        <x:f>SUM(B$6:B17)</x:f>
        <x:v>31834.253040885178</x:v>
      </x:c>
      <x:c r="D17" s="6" t="n">
        <x:f>B17*'Retention'!C6+B16*'Retention'!C7+B15*'Retention'!C8+B14*'Retention'!C9+B13*'Retention'!C10+B12*'Retention'!C11+B11*'Retention'!C12+B10*'Retention'!C13+B9*'Retention'!C14+B8*'Retention'!C15+B7*'Retention'!C16+B6*'Retention'!C17</x:f>
        <x:v>6741.654236161114</x:v>
      </x:c>
      <x:c r="E17" s="6" t="n">
        <x:f>D17*'Assumptions'!$C$15</x:f>
        <x:v>1348.3308472322228</x:v>
      </x:c>
      <x:c r="F17" s="6" t="n">
        <x:f>IF(A17&gt;'Assumptions'!$C$30,INDEX(B$6:B$29,A17-'Assumptions'!$C$30),0)*'Assumptions'!$C$8</x:f>
        <x:v>48.86683880332326</x:v>
      </x:c>
      <x:c r="G17" s="6" t="n">
        <x:f>IF(A17&gt;'Assumptions'!$C$30,INDEX(B$6:B$29,A17-'Assumptions'!$C$30),0)*'Assumptions'!$C$10</x:f>
        <x:v>65.1557850710977</x:v>
      </x:c>
      <x:c r="H17" s="6" t="n">
        <x:f>F17*'Assumptions'!$C$9+G17*'Assumptions'!$C$11</x:f>
        <x:v>666.7065707400071</x:v>
      </x:c>
      <x:c r="I17" s="6" t="n">
        <x:f>H17-H17/(1+'Assumptions'!$C$12)</x:f>
        <x:v>111.11776179000117</x:v>
      </x:c>
      <x:c r="J17" s="6" t="n">
        <x:f>(H17-I17)*'Assumptions'!$C$13</x:f>
        <x:v>16.66766426850018</x:v>
      </x:c>
      <x:c r="K17" s="6" t="n">
        <x:f>(H17-I17-J17)*'Assumptions'!$C$14</x:f>
        <x:v>80.83817170222586</x:v>
      </x:c>
      <x:c r="L17" s="6" t="n">
        <x:f>H17-SUM(I17:K17)</x:f>
        <x:v>458.08297297927993</x:v>
      </x:c>
      <x:c r="M17" s="6" t="n">
        <x:f>E17*'Assumptions'!$C$19*'Assumptions'!$C$17*'Assumptions'!$C$18/1000*'Assumptions'!$C$16</x:f>
        <x:v>0</x:v>
      </x:c>
      <x:c r="N17" s="6" t="n">
        <x:f>SUM(L17:M17)</x:f>
        <x:v>458.08297297927993</x:v>
      </x:c>
      <x:c r="O17" s="6" t="n">
        <x:f>'Assumptions'!$C$20+D17/1000*'Assumptions'!$C$21</x:f>
        <x:v>100.22496270848333</x:v>
      </x:c>
      <x:c r="P17" s="6" t="n">
        <x:f>'Assumptions'!$C$22</x:f>
        <x:v>50</x:v>
      </x:c>
      <x:c r="Q17" s="6" t="n">
        <x:f>'Assumptions'!$C$23</x:f>
        <x:v>0</x:v>
      </x:c>
      <x:c r="R17" s="6" t="n">
        <x:f>SUM(O17:Q17)</x:f>
        <x:v>150.22496270848333</x:v>
      </x:c>
      <x:c r="S17" s="6" t="n">
        <x:f>N17-R17</x:f>
        <x:v>307.8580102707966</x:v>
      </x:c>
      <x:c r="T17" s="6" t="n">
        <x:f>IF(A17&gt;'Assumptions'!$C$31,INDEX(N$6:N$29,A17-'Assumptions'!$C$31),0)</x:f>
        <x:v>436.2694980755047</x:v>
      </x:c>
      <x:c r="U17" s="6" t="n">
        <x:f>'Assumptions'!$C$29-'Assumptions'!$C$27-'Assumptions'!$C$28+SUM(T$6:T17)-SUM(R$6:R17)</x:f>
        <x:v>1292.7588375439645</x:v>
      </x:c>
      <x:c r="V17" s="6" t="n">
        <x:f>'Assumptions'!$C$24*'Assumptions'!$C$25</x:f>
        <x:v>800</x:v>
      </x:c>
      <x:c r="W17" s="6" t="n">
        <x:f>SUM(S$6:S17)-SUM(V$6:V17)-'Assumptions'!$C$27-'Assumptions'!$C$28-'Assumptions'!$C$26*'Assumptions'!$C$25</x:f>
        <x:v>-47849.15818947676</x:v>
      </x:c>
    </x:row>
    <x:row r="18" ht="22" customHeight="1">
      <x:c r="A18" s="46" t="n">
        <x:f>13</x:f>
        <x:v>13</x:v>
      </x:c>
      <x:c r="B18" s="6" t="n">
        <x:f>B17*(1+'Assumptions'!$C$7)</x:f>
        <x:v>3591.7126520442603</x:v>
      </x:c>
      <x:c r="C18" s="6" t="n">
        <x:f>SUM(B$6:B18)</x:f>
        <x:v>35425.965692929436</x:v>
      </x:c>
      <x:c r="D18" s="6" t="n">
        <x:f>B18*'Retention'!C6+B17*'Retention'!C7+B16*'Retention'!C8+B15*'Retention'!C9+B14*'Retention'!C10+B13*'Retention'!C11+B12*'Retention'!C12+B11*'Retention'!C13+B10*'Retention'!C14+B9*'Retention'!C15+B8*'Retention'!C16+B7*'Retention'!C17+B6*'Retention'!C18</x:f>
        <x:v>7244.945106967044</x:v>
      </x:c>
      <x:c r="E18" s="6" t="n">
        <x:f>D18*'Assumptions'!$C$15</x:f>
        <x:v>1448.9890213934088</x:v>
      </x:c>
      <x:c r="F18" s="6" t="n">
        <x:f>IF(A18&gt;'Assumptions'!$C$30,INDEX(B$6:B$29,A18-'Assumptions'!$C$30),0)*'Assumptions'!$C$8</x:f>
        <x:v>51.310180743489425</x:v>
      </x:c>
      <x:c r="G18" s="6" t="n">
        <x:f>IF(A18&gt;'Assumptions'!$C$30,INDEX(B$6:B$29,A18-'Assumptions'!$C$30),0)*'Assumptions'!$C$10</x:f>
        <x:v>68.41357432465257</x:v>
      </x:c>
      <x:c r="H18" s="6" t="n">
        <x:f>F18*'Assumptions'!$C$9+G18*'Assumptions'!$C$11</x:f>
        <x:v>700.0418992770074</x:v>
      </x:c>
      <x:c r="I18" s="6" t="n">
        <x:f>H18-H18/(1+'Assumptions'!$C$12)</x:f>
        <x:v>116.67364987950123</x:v>
      </x:c>
      <x:c r="J18" s="6" t="n">
        <x:f>(H18-I18)*'Assumptions'!$C$13</x:f>
        <x:v>17.501047481925184</x:v>
      </x:c>
      <x:c r="K18" s="6" t="n">
        <x:f>(H18-I18-J18)*'Assumptions'!$C$14</x:f>
        <x:v>84.88008028733714</x:v>
      </x:c>
      <x:c r="L18" s="6" t="n">
        <x:f>H18-SUM(I18:K18)</x:f>
        <x:v>480.9871216282438</x:v>
      </x:c>
      <x:c r="M18" s="6" t="n">
        <x:f>E18*'Assumptions'!$C$19*'Assumptions'!$C$17*'Assumptions'!$C$18/1000*'Assumptions'!$C$16</x:f>
        <x:v>0</x:v>
      </x:c>
      <x:c r="N18" s="6" t="n">
        <x:f>SUM(L18:M18)</x:f>
        <x:v>480.9871216282438</x:v>
      </x:c>
      <x:c r="O18" s="6" t="n">
        <x:f>'Assumptions'!$C$20+D18/1000*'Assumptions'!$C$21</x:f>
        <x:v>101.73483532090113</x:v>
      </x:c>
      <x:c r="P18" s="6" t="n">
        <x:f>'Assumptions'!$C$22</x:f>
        <x:v>50</x:v>
      </x:c>
      <x:c r="Q18" s="6" t="n">
        <x:f>'Assumptions'!$C$23</x:f>
        <x:v>0</x:v>
      </x:c>
      <x:c r="R18" s="6" t="n">
        <x:f>SUM(O18:Q18)</x:f>
        <x:v>151.73483532090114</x:v>
      </x:c>
      <x:c r="S18" s="6" t="n">
        <x:f>N18-R18</x:f>
        <x:v>329.2522863073427</x:v>
      </x:c>
      <x:c r="T18" s="6" t="n">
        <x:f>IF(A18&gt;'Assumptions'!$C$31,INDEX(N$6:N$29,A18-'Assumptions'!$C$31),0)</x:f>
        <x:v>458.08297297927993</x:v>
      </x:c>
      <x:c r="U18" s="6" t="n">
        <x:f>'Assumptions'!$C$29-'Assumptions'!$C$27-'Assumptions'!$C$28+SUM(T$6:T18)-SUM(R$6:R18)</x:f>
        <x:v>1599.1069752023434</x:v>
      </x:c>
      <x:c r="V18" s="6" t="n">
        <x:f>'Assumptions'!$C$24*'Assumptions'!$C$25</x:f>
        <x:v>800</x:v>
      </x:c>
      <x:c r="W18" s="6" t="n">
        <x:f>SUM(S$6:S18)-SUM(V$6:V18)-'Assumptions'!$C$27-'Assumptions'!$C$28-'Assumptions'!$C$26*'Assumptions'!$C$25</x:f>
        <x:v>-48319.90590316941</x:v>
      </x:c>
    </x:row>
    <x:row r="19" ht="22" customHeight="1">
      <x:c r="A19" s="46" t="n">
        <x:f>14</x:f>
        <x:v>14</x:v>
      </x:c>
      <x:c r="B19" s="6" t="n">
        <x:f>B18*(1+'Assumptions'!$C$7)</x:f>
        <x:v>3771.2982846464733</x:v>
      </x:c>
      <x:c r="C19" s="6" t="n">
        <x:f>SUM(B$6:B19)</x:f>
        <x:v>39197.26397757591</x:v>
      </x:c>
      <x:c r="D19" s="6" t="n">
        <x:f>B19*'Retention'!C6+B18*'Retention'!C7+B17*'Retention'!C8+B16*'Retention'!C9+B15*'Retention'!C10+B14*'Retention'!C11+B13*'Retention'!C12+B12*'Retention'!C13+B11*'Retention'!C14+B10*'Retention'!C15+B9*'Retention'!C16+B8*'Retention'!C17+B7*'Retention'!C18+B6*'Retention'!C19</x:f>
        <x:v>7766.752194953357</x:v>
      </x:c>
      <x:c r="E19" s="6" t="n">
        <x:f>D19*'Assumptions'!$C$15</x:f>
        <x:v>1553.3504389906714</x:v>
      </x:c>
      <x:c r="F19" s="6" t="n">
        <x:f>IF(A19&gt;'Assumptions'!$C$30,INDEX(B$6:B$29,A19-'Assumptions'!$C$30),0)*'Assumptions'!$C$8</x:f>
        <x:v>53.875689780663905</x:v>
      </x:c>
      <x:c r="G19" s="6" t="n">
        <x:f>IF(A19&gt;'Assumptions'!$C$30,INDEX(B$6:B$29,A19-'Assumptions'!$C$30),0)*'Assumptions'!$C$10</x:f>
        <x:v>71.8342530408852</x:v>
      </x:c>
      <x:c r="H19" s="6" t="n">
        <x:f>F19*'Assumptions'!$C$9+G19*'Assumptions'!$C$11</x:f>
        <x:v>735.0439942408578</x:v>
      </x:c>
      <x:c r="I19" s="6" t="n">
        <x:f>H19-H19/(1+'Assumptions'!$C$12)</x:f>
        <x:v>122.50733237347629</x:v>
      </x:c>
      <x:c r="J19" s="6" t="n">
        <x:f>(H19-I19)*'Assumptions'!$C$13</x:f>
        <x:v>18.376099856021447</x:v>
      </x:c>
      <x:c r="K19" s="6" t="n">
        <x:f>(H19-I19-J19)*'Assumptions'!$C$14</x:f>
        <x:v>89.124084301704</x:v>
      </x:c>
      <x:c r="L19" s="6" t="n">
        <x:f>H19-SUM(I19:K19)</x:f>
        <x:v>505.0364777096561</x:v>
      </x:c>
      <x:c r="M19" s="6" t="n">
        <x:f>E19*'Assumptions'!$C$19*'Assumptions'!$C$17*'Assumptions'!$C$18/1000*'Assumptions'!$C$16</x:f>
        <x:v>0</x:v>
      </x:c>
      <x:c r="N19" s="6" t="n">
        <x:f>SUM(L19:M19)</x:f>
        <x:v>505.0364777096561</x:v>
      </x:c>
      <x:c r="O19" s="6" t="n">
        <x:f>'Assumptions'!$C$20+D19/1000*'Assumptions'!$C$21</x:f>
        <x:v>103.30025658486008</x:v>
      </x:c>
      <x:c r="P19" s="6" t="n">
        <x:f>'Assumptions'!$C$22</x:f>
        <x:v>50</x:v>
      </x:c>
      <x:c r="Q19" s="6" t="n">
        <x:f>'Assumptions'!$C$23</x:f>
        <x:v>0</x:v>
      </x:c>
      <x:c r="R19" s="6" t="n">
        <x:f>SUM(O19:Q19)</x:f>
        <x:v>153.30025658486008</x:v>
      </x:c>
      <x:c r="S19" s="6" t="n">
        <x:f>N19-R19</x:f>
        <x:v>351.736221124796</x:v>
      </x:c>
      <x:c r="T19" s="6" t="n">
        <x:f>IF(A19&gt;'Assumptions'!$C$31,INDEX(N$6:N$29,A19-'Assumptions'!$C$31),0)</x:f>
        <x:v>480.9871216282438</x:v>
      </x:c>
      <x:c r="U19" s="6" t="n">
        <x:f>'Assumptions'!$C$29-'Assumptions'!$C$27-'Assumptions'!$C$28+SUM(T$6:T19)-SUM(R$6:R19)</x:f>
        <x:v>1926.7938402457273</x:v>
      </x:c>
      <x:c r="V19" s="6" t="n">
        <x:f>'Assumptions'!$C$24*'Assumptions'!$C$25</x:f>
        <x:v>800</x:v>
      </x:c>
      <x:c r="W19" s="6" t="n">
        <x:f>SUM(S$6:S19)-SUM(V$6:V19)-'Assumptions'!$C$27-'Assumptions'!$C$28-'Assumptions'!$C$26*'Assumptions'!$C$25</x:f>
        <x:v>-48768.169682044616</x:v>
      </x:c>
    </x:row>
    <x:row r="20" ht="22" customHeight="1">
      <x:c r="A20" s="46" t="n">
        <x:f>15</x:f>
        <x:v>15</x:v>
      </x:c>
      <x:c r="B20" s="6" t="n">
        <x:f>B19*(1+'Assumptions'!$C$7)</x:f>
        <x:v>3959.863198878797</x:v>
      </x:c>
      <x:c r="C20" s="6" t="n">
        <x:f>SUM(B$6:B20)</x:f>
        <x:v>43157.127176454705</x:v>
      </x:c>
      <x:c r="D20" s="6" t="n">
        <x:f>B20*'Retention'!C6+B19*'Retention'!C7+B18*'Retention'!C8+B17*'Retention'!C9+B16*'Retention'!C10+B15*'Retention'!C11+B14*'Retention'!C12+B13*'Retention'!C13+B12*'Retention'!C14+B11*'Retention'!C15+B10*'Retention'!C16+B9*'Retention'!C17+B8*'Retention'!C18+B7*'Retention'!C19+B6*'Retention'!C20</x:f>
        <x:v>8308.267244033468</x:v>
      </x:c>
      <x:c r="E20" s="6" t="n">
        <x:f>D20*'Assumptions'!$C$15</x:f>
        <x:v>1661.6534488066936</x:v>
      </x:c>
      <x:c r="F20" s="6" t="n">
        <x:f>IF(A20&gt;'Assumptions'!$C$30,INDEX(B$6:B$29,A20-'Assumptions'!$C$30),0)*'Assumptions'!$C$8</x:f>
        <x:v>56.569474269697096</x:v>
      </x:c>
      <x:c r="G20" s="6" t="n">
        <x:f>IF(A20&gt;'Assumptions'!$C$30,INDEX(B$6:B$29,A20-'Assumptions'!$C$30),0)*'Assumptions'!$C$10</x:f>
        <x:v>75.42596569292947</x:v>
      </x:c>
      <x:c r="H20" s="6" t="n">
        <x:f>F20*'Assumptions'!$C$9+G20*'Assumptions'!$C$11</x:f>
        <x:v>771.7961939529007</x:v>
      </x:c>
      <x:c r="I20" s="6" t="n">
        <x:f>H20-H20/(1+'Assumptions'!$C$12)</x:f>
        <x:v>128.63269899215004</x:v>
      </x:c>
      <x:c r="J20" s="6" t="n">
        <x:f>(H20-I20)*'Assumptions'!$C$13</x:f>
        <x:v>19.29490484882252</x:v>
      </x:c>
      <x:c r="K20" s="6" t="n">
        <x:f>(H20-I20-J20)*'Assumptions'!$C$14</x:f>
        <x:v>93.58028851678922</x:v>
      </x:c>
      <x:c r="L20" s="6" t="n">
        <x:f>H20-SUM(I20:K20)</x:f>
        <x:v>530.2883015951389</x:v>
      </x:c>
      <x:c r="M20" s="6" t="n">
        <x:f>E20*'Assumptions'!$C$19*'Assumptions'!$C$17*'Assumptions'!$C$18/1000*'Assumptions'!$C$16</x:f>
        <x:v>0</x:v>
      </x:c>
      <x:c r="N20" s="6" t="n">
        <x:f>SUM(L20:M20)</x:f>
        <x:v>530.2883015951389</x:v>
      </x:c>
      <x:c r="O20" s="6" t="n">
        <x:f>'Assumptions'!$C$20+D20/1000*'Assumptions'!$C$21</x:f>
        <x:v>104.9248017321004</x:v>
      </x:c>
      <x:c r="P20" s="6" t="n">
        <x:f>'Assumptions'!$C$22</x:f>
        <x:v>50</x:v>
      </x:c>
      <x:c r="Q20" s="6" t="n">
        <x:f>'Assumptions'!$C$23</x:f>
        <x:v>0</x:v>
      </x:c>
      <x:c r="R20" s="6" t="n">
        <x:f>SUM(O20:Q20)</x:f>
        <x:v>154.9248017321004</x:v>
      </x:c>
      <x:c r="S20" s="6" t="n">
        <x:f>N20-R20</x:f>
        <x:v>375.36349986303856</x:v>
      </x:c>
      <x:c r="T20" s="6" t="n">
        <x:f>IF(A20&gt;'Assumptions'!$C$31,INDEX(N$6:N$29,A20-'Assumptions'!$C$31),0)</x:f>
        <x:v>505.0364777096561</x:v>
      </x:c>
      <x:c r="U20" s="6" t="n">
        <x:f>'Assumptions'!$C$29-'Assumptions'!$C$27-'Assumptions'!$C$28+SUM(T$6:T20)-SUM(R$6:R20)</x:f>
        <x:v>2276.9055162232835</x:v>
      </x:c>
      <x:c r="V20" s="6" t="n">
        <x:f>'Assumptions'!$C$24*'Assumptions'!$C$25</x:f>
        <x:v>800</x:v>
      </x:c>
      <x:c r="W20" s="6" t="n">
        <x:f>SUM(S$6:S20)-SUM(V$6:V20)-'Assumptions'!$C$27-'Assumptions'!$C$28-'Assumptions'!$C$26*'Assumptions'!$C$25</x:f>
        <x:v>-49192.80618218158</x:v>
      </x:c>
    </x:row>
    <x:row r="21" ht="22" customHeight="1">
      <x:c r="A21" s="46" t="n">
        <x:f>16</x:f>
        <x:v>16</x:v>
      </x:c>
      <x:c r="B21" s="6" t="n">
        <x:f>B20*(1+'Assumptions'!$C$7)</x:f>
        <x:v>4157.856358822737</x:v>
      </x:c>
      <x:c r="C21" s="6" t="n">
        <x:f>SUM(B$6:B21)</x:f>
        <x:v>47314.98353527744</x:v>
      </x:c>
      <x:c r="D21" s="6" t="n">
        <x:f>B21*'Retention'!C6+B20*'Retention'!C7+B19*'Retention'!C8+B18*'Retention'!C9+B17*'Retention'!C10+B16*'Retention'!C11+B15*'Retention'!C12+B14*'Retention'!C13+B13*'Retention'!C14+B12*'Retention'!C15+B11*'Retention'!C16+B10*'Retention'!C17+B9*'Retention'!C18+B8*'Retention'!C19+B7*'Retention'!C20+B6*'Retention'!C21</x:f>
        <x:v>8870.730947994287</x:v>
      </x:c>
      <x:c r="E21" s="6" t="n">
        <x:f>D21*'Assumptions'!$C$15</x:f>
        <x:v>1774.1461895988575</x:v>
      </x:c>
      <x:c r="F21" s="6" t="n">
        <x:f>IF(A21&gt;'Assumptions'!$C$30,INDEX(B$6:B$29,A21-'Assumptions'!$C$30),0)*'Assumptions'!$C$8</x:f>
        <x:v>59.39794798318195</x:v>
      </x:c>
      <x:c r="G21" s="6" t="n">
        <x:f>IF(A21&gt;'Assumptions'!$C$30,INDEX(B$6:B$29,A21-'Assumptions'!$C$30),0)*'Assumptions'!$C$10</x:f>
        <x:v>79.19726397757594</x:v>
      </x:c>
      <x:c r="H21" s="6" t="n">
        <x:f>F21*'Assumptions'!$C$9+G21*'Assumptions'!$C$11</x:f>
        <x:v>810.3860036505457</x:v>
      </x:c>
      <x:c r="I21" s="6" t="n">
        <x:f>H21-H21/(1+'Assumptions'!$C$12)</x:f>
        <x:v>135.06433394175758</x:v>
      </x:c>
      <x:c r="J21" s="6" t="n">
        <x:f>(H21-I21)*'Assumptions'!$C$13</x:f>
        <x:v>20.259650091263644</x:v>
      </x:c>
      <x:c r="K21" s="6" t="n">
        <x:f>(H21-I21-J21)*'Assumptions'!$C$14</x:f>
        <x:v>98.25930294262866</x:v>
      </x:c>
      <x:c r="L21" s="6" t="n">
        <x:f>H21-SUM(I21:K21)</x:f>
        <x:v>556.8027166748958</x:v>
      </x:c>
      <x:c r="M21" s="6" t="n">
        <x:f>E21*'Assumptions'!$C$19*'Assumptions'!$C$17*'Assumptions'!$C$18/1000*'Assumptions'!$C$16</x:f>
        <x:v>0</x:v>
      </x:c>
      <x:c r="N21" s="6" t="n">
        <x:f>SUM(L21:M21)</x:f>
        <x:v>556.8027166748958</x:v>
      </x:c>
      <x:c r="O21" s="6" t="n">
        <x:f>'Assumptions'!$C$20+D21/1000*'Assumptions'!$C$21</x:f>
        <x:v>106.61219284398285</x:v>
      </x:c>
      <x:c r="P21" s="6" t="n">
        <x:f>'Assumptions'!$C$22</x:f>
        <x:v>50</x:v>
      </x:c>
      <x:c r="Q21" s="6" t="n">
        <x:f>'Assumptions'!$C$23</x:f>
        <x:v>0</x:v>
      </x:c>
      <x:c r="R21" s="6" t="n">
        <x:f>SUM(O21:Q21)</x:f>
        <x:v>156.61219284398285</x:v>
      </x:c>
      <x:c r="S21" s="6" t="n">
        <x:f>N21-R21</x:f>
        <x:v>400.190523830913</x:v>
      </x:c>
      <x:c r="T21" s="6" t="n">
        <x:f>IF(A21&gt;'Assumptions'!$C$31,INDEX(N$6:N$29,A21-'Assumptions'!$C$31),0)</x:f>
        <x:v>530.2883015951389</x:v>
      </x:c>
      <x:c r="U21" s="6" t="n">
        <x:f>'Assumptions'!$C$29-'Assumptions'!$C$27-'Assumptions'!$C$28+SUM(T$6:T21)-SUM(R$6:R21)</x:f>
        <x:v>2650.58162497444</x:v>
      </x:c>
      <x:c r="V21" s="6" t="n">
        <x:f>'Assumptions'!$C$24*'Assumptions'!$C$25</x:f>
        <x:v>800</x:v>
      </x:c>
      <x:c r="W21" s="6" t="n">
        <x:f>SUM(S$6:S21)-SUM(V$6:V21)-'Assumptions'!$C$27-'Assumptions'!$C$28-'Assumptions'!$C$26*'Assumptions'!$C$25</x:f>
        <x:v>-49592.61565835067</x:v>
      </x:c>
    </x:row>
    <x:row r="22" ht="22" customHeight="1">
      <x:c r="A22" s="46" t="n">
        <x:f>17</x:f>
        <x:v>17</x:v>
      </x:c>
      <x:c r="B22" s="6" t="n">
        <x:f>B21*(1+'Assumptions'!$C$7)</x:f>
        <x:v>4365.749176763874</x:v>
      </x:c>
      <x:c r="C22" s="6" t="n">
        <x:f>SUM(B$6:B22)</x:f>
        <x:v>51680.73271204131</x:v>
      </x:c>
      <x:c r="D22" s="6" t="n">
        <x:f>B22*'Retention'!C6+B21*'Retention'!C7+B20*'Retention'!C8+B19*'Retention'!C9+B18*'Retention'!C10+B17*'Retention'!C11+B16*'Retention'!C12+B15*'Retention'!C13+B14*'Retention'!C14+B13*'Retention'!C15+B12*'Retention'!C16+B11*'Retention'!C17+B10*'Retention'!C18+B9*'Retention'!C19+B8*'Retention'!C20+B7*'Retention'!C21+B6*'Retention'!C22</x:f>
        <x:v>9455.43582348278</x:v>
      </x:c>
      <x:c r="E22" s="6" t="n">
        <x:f>D22*'Assumptions'!$C$15</x:f>
        <x:v>1891.087164696556</x:v>
      </x:c>
      <x:c r="F22" s="6" t="n">
        <x:f>IF(A22&gt;'Assumptions'!$C$30,INDEX(B$6:B$29,A22-'Assumptions'!$C$30),0)*'Assumptions'!$C$8</x:f>
        <x:v>62.36784538234105</x:v>
      </x:c>
      <x:c r="G22" s="6" t="n">
        <x:f>IF(A22&gt;'Assumptions'!$C$30,INDEX(B$6:B$29,A22-'Assumptions'!$C$30),0)*'Assumptions'!$C$10</x:f>
        <x:v>83.15712717645475</x:v>
      </x:c>
      <x:c r="H22" s="6" t="n">
        <x:f>F22*'Assumptions'!$C$9+G22*'Assumptions'!$C$11</x:f>
        <x:v>850.9053038330733</x:v>
      </x:c>
      <x:c r="I22" s="6" t="n">
        <x:f>H22-H22/(1+'Assumptions'!$C$12)</x:f>
        <x:v>141.81755063884555</x:v>
      </x:c>
      <x:c r="J22" s="6" t="n">
        <x:f>(H22-I22)*'Assumptions'!$C$13</x:f>
        <x:v>21.27263259582683</x:v>
      </x:c>
      <x:c r="K22" s="6" t="n">
        <x:f>(H22-I22-J22)*'Assumptions'!$C$14</x:f>
        <x:v>103.17226808976012</x:v>
      </x:c>
      <x:c r="L22" s="6" t="n">
        <x:f>H22-SUM(I22:K22)</x:f>
        <x:v>584.6428525086408</x:v>
      </x:c>
      <x:c r="M22" s="6" t="n">
        <x:f>E22*'Assumptions'!$C$19*'Assumptions'!$C$17*'Assumptions'!$C$18/1000*'Assumptions'!$C$16</x:f>
        <x:v>0</x:v>
      </x:c>
      <x:c r="N22" s="6" t="n">
        <x:f>SUM(L22:M22)</x:f>
        <x:v>584.6428525086408</x:v>
      </x:c>
      <x:c r="O22" s="6" t="n">
        <x:f>'Assumptions'!$C$20+D22/1000*'Assumptions'!$C$21</x:f>
        <x:v>108.36630747044833</x:v>
      </x:c>
      <x:c r="P22" s="6" t="n">
        <x:f>'Assumptions'!$C$22</x:f>
        <x:v>50</x:v>
      </x:c>
      <x:c r="Q22" s="6" t="n">
        <x:f>'Assumptions'!$C$23</x:f>
        <x:v>0</x:v>
      </x:c>
      <x:c r="R22" s="6" t="n">
        <x:f>SUM(O22:Q22)</x:f>
        <x:v>158.36630747044833</x:v>
      </x:c>
      <x:c r="S22" s="6" t="n">
        <x:f>N22-R22</x:f>
        <x:v>426.27654503819247</x:v>
      </x:c>
      <x:c r="T22" s="6" t="n">
        <x:f>IF(A22&gt;'Assumptions'!$C$31,INDEX(N$6:N$29,A22-'Assumptions'!$C$31),0)</x:f>
        <x:v>556.8027166748958</x:v>
      </x:c>
      <x:c r="U22" s="6" t="n">
        <x:f>'Assumptions'!$C$29-'Assumptions'!$C$27-'Assumptions'!$C$28+SUM(T$6:T22)-SUM(R$6:R22)</x:f>
        <x:v>3049.018034178888</x:v>
      </x:c>
      <x:c r="V22" s="6" t="n">
        <x:f>'Assumptions'!$C$24*'Assumptions'!$C$25</x:f>
        <x:v>800</x:v>
      </x:c>
      <x:c r="W22" s="6" t="n">
        <x:f>SUM(S$6:S22)-SUM(V$6:V22)-'Assumptions'!$C$27-'Assumptions'!$C$28-'Assumptions'!$C$26*'Assumptions'!$C$25</x:f>
        <x:v>-49966.339113312475</x:v>
      </x:c>
    </x:row>
    <x:row r="23" ht="22" customHeight="1">
      <x:c r="A23" s="46" t="n">
        <x:f>18</x:f>
        <x:v>18</x:v>
      </x:c>
      <x:c r="B23" s="6" t="n">
        <x:f>B22*(1+'Assumptions'!$C$7)</x:f>
        <x:v>4584.036635602068</x:v>
      </x:c>
      <x:c r="C23" s="6" t="n">
        <x:f>SUM(B$6:B23)</x:f>
        <x:v>56264.76934764338</x:v>
      </x:c>
      <x:c r="D23" s="6" t="n">
        <x:f>B23*'Retention'!C6+B22*'Retention'!C7+B21*'Retention'!C8+B20*'Retention'!C9+B19*'Retention'!C10+B18*'Retention'!C11+B17*'Retention'!C12+B16*'Retention'!C13+B15*'Retention'!C14+B14*'Retention'!C15+B13*'Retention'!C16+B12*'Retention'!C17+B11*'Retention'!C18+B10*'Retention'!C19+B9*'Retention'!C20+B8*'Retention'!C21+B7*'Retention'!C22+B6*'Retention'!C23</x:f>
        <x:v>10063.729209622139</x:v>
      </x:c>
      <x:c r="E23" s="6" t="n">
        <x:f>D23*'Assumptions'!$C$15</x:f>
        <x:v>2012.7458419244279</x:v>
      </x:c>
      <x:c r="F23" s="6" t="n">
        <x:f>IF(A23&gt;'Assumptions'!$C$30,INDEX(B$6:B$29,A23-'Assumptions'!$C$30),0)*'Assumptions'!$C$8</x:f>
        <x:v>65.48623765145811</x:v>
      </x:c>
      <x:c r="G23" s="6" t="n">
        <x:f>IF(A23&gt;'Assumptions'!$C$30,INDEX(B$6:B$29,A23-'Assumptions'!$C$30),0)*'Assumptions'!$C$10</x:f>
        <x:v>87.31498353527748</x:v>
      </x:c>
      <x:c r="H23" s="6" t="n">
        <x:f>F23*'Assumptions'!$C$9+G23*'Assumptions'!$C$11</x:f>
        <x:v>893.4505690247267</x:v>
      </x:c>
      <x:c r="I23" s="6" t="n">
        <x:f>H23-H23/(1+'Assumptions'!$C$12)</x:f>
        <x:v>148.90842817078772</x:v>
      </x:c>
      <x:c r="J23" s="6" t="n">
        <x:f>(H23-I23)*'Assumptions'!$C$13</x:f>
        <x:v>22.33626422561817</x:v>
      </x:c>
      <x:c r="K23" s="6" t="n">
        <x:f>(H23-I23-J23)*'Assumptions'!$C$14</x:f>
        <x:v>108.33088149424813</x:v>
      </x:c>
      <x:c r="L23" s="6" t="n">
        <x:f>H23-SUM(I23:K23)</x:f>
        <x:v>613.8749951340727</x:v>
      </x:c>
      <x:c r="M23" s="6" t="n">
        <x:f>E23*'Assumptions'!$C$19*'Assumptions'!$C$17*'Assumptions'!$C$18/1000*'Assumptions'!$C$16</x:f>
        <x:v>0</x:v>
      </x:c>
      <x:c r="N23" s="6" t="n">
        <x:f>SUM(L23:M23)</x:f>
        <x:v>613.8749951340727</x:v>
      </x:c>
      <x:c r="O23" s="6" t="n">
        <x:f>'Assumptions'!$C$20+D23/1000*'Assumptions'!$C$21</x:f>
        <x:v>110.19118762886642</x:v>
      </x:c>
      <x:c r="P23" s="6" t="n">
        <x:f>'Assumptions'!$C$22</x:f>
        <x:v>50</x:v>
      </x:c>
      <x:c r="Q23" s="6" t="n">
        <x:f>'Assumptions'!$C$23</x:f>
        <x:v>0</x:v>
      </x:c>
      <x:c r="R23" s="6" t="n">
        <x:f>SUM(O23:Q23)</x:f>
        <x:v>160.19118762886643</x:v>
      </x:c>
      <x:c r="S23" s="6" t="n">
        <x:f>N23-R23</x:f>
        <x:v>453.6838075052063</x:v>
      </x:c>
      <x:c r="T23" s="6" t="n">
        <x:f>IF(A23&gt;'Assumptions'!$C$31,INDEX(N$6:N$29,A23-'Assumptions'!$C$31),0)</x:f>
        <x:v>584.6428525086408</x:v>
      </x:c>
      <x:c r="U23" s="6" t="n">
        <x:f>'Assumptions'!$C$29-'Assumptions'!$C$27-'Assumptions'!$C$28+SUM(T$6:T23)-SUM(R$6:R23)</x:f>
        <x:v>3473.4696990586626</x:v>
      </x:c>
      <x:c r="V23" s="6" t="n">
        <x:f>'Assumptions'!$C$24*'Assumptions'!$C$25</x:f>
        <x:v>800</x:v>
      </x:c>
      <x:c r="W23" s="6" t="n">
        <x:f>SUM(S$6:S23)-SUM(V$6:V23)-'Assumptions'!$C$27-'Assumptions'!$C$28-'Assumptions'!$C$26*'Assumptions'!$C$25</x:f>
        <x:v>-50312.65530580727</x:v>
      </x:c>
    </x:row>
    <x:row r="24" ht="22" customHeight="1">
      <x:c r="A24" s="46" t="n">
        <x:f>19</x:f>
        <x:v>19</x:v>
      </x:c>
      <x:c r="B24" s="6" t="n">
        <x:f>B23*(1+'Assumptions'!$C$7)</x:f>
        <x:v>4813.238467382172</x:v>
      </x:c>
      <x:c r="C24" s="6" t="n">
        <x:f>SUM(B$6:B24)</x:f>
        <x:v>61078.00781502555</x:v>
      </x:c>
      <x:c r="D24" s="6" t="n">
        <x:f>B24*'Retention'!C6+B23*'Retention'!C7+B22*'Retention'!C8+B21*'Retention'!C9+B20*'Retention'!C10+B19*'Retention'!C11+B18*'Retention'!C12+B17*'Retention'!C13+B16*'Retention'!C14+B15*'Retention'!C15+B14*'Retention'!C16+B13*'Retention'!C17+B12*'Retention'!C18+B11*'Retention'!C19+B10*'Retention'!C20+B9*'Retention'!C21+B8*'Retention'!C22+B7*'Retention'!C23+B6*'Retention'!C24</x:f>
        <x:v>10697.016401269871</x:v>
      </x:c>
      <x:c r="E24" s="6" t="n">
        <x:f>D24*'Assumptions'!$C$15</x:f>
        <x:v>2139.4032802539746</x:v>
      </x:c>
      <x:c r="F24" s="6" t="n">
        <x:f>IF(A24&gt;'Assumptions'!$C$30,INDEX(B$6:B$29,A24-'Assumptions'!$C$30),0)*'Assumptions'!$C$8</x:f>
        <x:v>68.76054953403101</x:v>
      </x:c>
      <x:c r="G24" s="6" t="n">
        <x:f>IF(A24&gt;'Assumptions'!$C$30,INDEX(B$6:B$29,A24-'Assumptions'!$C$30),0)*'Assumptions'!$C$10</x:f>
        <x:v>91.68073271204136</x:v>
      </x:c>
      <x:c r="H24" s="6" t="n">
        <x:f>F24*'Assumptions'!$C$9+G24*'Assumptions'!$C$11</x:f>
        <x:v>938.1230974759633</x:v>
      </x:c>
      <x:c r="I24" s="6" t="n">
        <x:f>H24-H24/(1+'Assumptions'!$C$12)</x:f>
        <x:v>156.35384957932717</x:v>
      </x:c>
      <x:c r="J24" s="6" t="n">
        <x:f>(H24-I24)*'Assumptions'!$C$13</x:f>
        <x:v>23.453077436899083</x:v>
      </x:c>
      <x:c r="K24" s="6" t="n">
        <x:f>(H24-I24-J24)*'Assumptions'!$C$14</x:f>
        <x:v>113.74742556896055</x:v>
      </x:c>
      <x:c r="L24" s="6" t="n">
        <x:f>H24-SUM(I24:K24)</x:f>
        <x:v>644.5687448907764</x:v>
      </x:c>
      <x:c r="M24" s="6" t="n">
        <x:f>E24*'Assumptions'!$C$19*'Assumptions'!$C$17*'Assumptions'!$C$18/1000*'Assumptions'!$C$16</x:f>
        <x:v>0</x:v>
      </x:c>
      <x:c r="N24" s="6" t="n">
        <x:f>SUM(L24:M24)</x:f>
        <x:v>644.5687448907764</x:v>
      </x:c>
      <x:c r="O24" s="6" t="n">
        <x:f>'Assumptions'!$C$20+D24/1000*'Assumptions'!$C$21</x:f>
        <x:v>112.09104920380962</x:v>
      </x:c>
      <x:c r="P24" s="6" t="n">
        <x:f>'Assumptions'!$C$22</x:f>
        <x:v>50</x:v>
      </x:c>
      <x:c r="Q24" s="6" t="n">
        <x:f>'Assumptions'!$C$23</x:f>
        <x:v>0</x:v>
      </x:c>
      <x:c r="R24" s="6" t="n">
        <x:f>SUM(O24:Q24)</x:f>
        <x:v>162.09104920380963</x:v>
      </x:c>
      <x:c r="S24" s="6" t="n">
        <x:f>N24-R24</x:f>
        <x:v>482.4776956869668</x:v>
      </x:c>
      <x:c r="T24" s="6" t="n">
        <x:f>IF(A24&gt;'Assumptions'!$C$31,INDEX(N$6:N$29,A24-'Assumptions'!$C$31),0)</x:f>
        <x:v>613.8749951340727</x:v>
      </x:c>
      <x:c r="U24" s="6" t="n">
        <x:f>'Assumptions'!$C$29-'Assumptions'!$C$27-'Assumptions'!$C$28+SUM(T$6:T24)-SUM(R$6:R24)</x:f>
        <x:v>3925.2536449889253</x:v>
      </x:c>
      <x:c r="V24" s="6" t="n">
        <x:f>'Assumptions'!$C$24*'Assumptions'!$C$25</x:f>
        <x:v>800</x:v>
      </x:c>
      <x:c r="W24" s="6" t="n">
        <x:f>SUM(S$6:S24)-SUM(V$6:V24)-'Assumptions'!$C$27-'Assumptions'!$C$28-'Assumptions'!$C$26*'Assumptions'!$C$25</x:f>
        <x:v>-50630.1776101203</x:v>
      </x:c>
    </x:row>
    <x:row r="25" ht="22" customHeight="1">
      <x:c r="A25" s="46" t="n">
        <x:f>20</x:f>
        <x:v>20</x:v>
      </x:c>
      <x:c r="B25" s="6" t="n">
        <x:f>B24*(1+'Assumptions'!$C$7)</x:f>
        <x:v>5053.900390751281</x:v>
      </x:c>
      <x:c r="C25" s="6" t="n">
        <x:f>SUM(B$6:B25)</x:f>
        <x:v>66131.90820577682</x:v>
      </x:c>
      <x:c r="D25" s="6" t="n">
        <x:f>B25*'Retention'!C6+B24*'Retention'!C7+B23*'Retention'!C8+B22*'Retention'!C9+B21*'Retention'!C10+B20*'Retention'!C11+B19*'Retention'!C12+B18*'Retention'!C13+B17*'Retention'!C14+B16*'Retention'!C15+B15*'Retention'!C16+B14*'Retention'!C17+B13*'Retention'!C18+B12*'Retention'!C19+B11*'Retention'!C20+B10*'Retention'!C21+B9*'Retention'!C22+B8*'Retention'!C23+B7*'Retention'!C24+B6*'Retention'!C25</x:f>
        <x:v>11356.76392325332</x:v>
      </x:c>
      <x:c r="E25" s="6" t="n">
        <x:f>D25*'Assumptions'!$C$15</x:f>
        <x:v>2271.352784650664</x:v>
      </x:c>
      <x:c r="F25" s="6" t="n">
        <x:f>IF(A25&gt;'Assumptions'!$C$30,INDEX(B$6:B$29,A25-'Assumptions'!$C$30),0)*'Assumptions'!$C$8</x:f>
        <x:v>72.19857701073258</x:v>
      </x:c>
      <x:c r="G25" s="6" t="n">
        <x:f>IF(A25&gt;'Assumptions'!$C$30,INDEX(B$6:B$29,A25-'Assumptions'!$C$30),0)*'Assumptions'!$C$10</x:f>
        <x:v>96.26476934764344</x:v>
      </x:c>
      <x:c r="H25" s="6" t="n">
        <x:f>F25*'Assumptions'!$C$9+G25*'Assumptions'!$C$11</x:f>
        <x:v>985.0292523497615</x:v>
      </x:c>
      <x:c r="I25" s="6" t="n">
        <x:f>H25-H25/(1+'Assumptions'!$C$12)</x:f>
        <x:v>164.17154205829354</x:v>
      </x:c>
      <x:c r="J25" s="6" t="n">
        <x:f>(H25-I25)*'Assumptions'!$C$13</x:f>
        <x:v>24.625731308744037</x:v>
      </x:c>
      <x:c r="K25" s="6" t="n">
        <x:f>(H25-I25-J25)*'Assumptions'!$C$14</x:f>
        <x:v>119.43479684740856</x:v>
      </x:c>
      <x:c r="L25" s="6" t="n">
        <x:f>H25-SUM(I25:K25)</x:f>
        <x:v>676.7971821353153</x:v>
      </x:c>
      <x:c r="M25" s="6" t="n">
        <x:f>E25*'Assumptions'!$C$19*'Assumptions'!$C$17*'Assumptions'!$C$18/1000*'Assumptions'!$C$16</x:f>
        <x:v>0</x:v>
      </x:c>
      <x:c r="N25" s="6" t="n">
        <x:f>SUM(L25:M25)</x:f>
        <x:v>676.7971821353153</x:v>
      </x:c>
      <x:c r="O25" s="6" t="n">
        <x:f>'Assumptions'!$C$20+D25/1000*'Assumptions'!$C$21</x:f>
        <x:v>114.07029176975996</x:v>
      </x:c>
      <x:c r="P25" s="6" t="n">
        <x:f>'Assumptions'!$C$22</x:f>
        <x:v>50</x:v>
      </x:c>
      <x:c r="Q25" s="6" t="n">
        <x:f>'Assumptions'!$C$23</x:f>
        <x:v>0</x:v>
      </x:c>
      <x:c r="R25" s="6" t="n">
        <x:f>SUM(O25:Q25)</x:f>
        <x:v>164.07029176975996</x:v>
      </x:c>
      <x:c r="S25" s="6" t="n">
        <x:f>N25-R25</x:f>
        <x:v>512.7268903655554</x:v>
      </x:c>
      <x:c r="T25" s="6" t="n">
        <x:f>IF(A25&gt;'Assumptions'!$C$31,INDEX(N$6:N$29,A25-'Assumptions'!$C$31),0)</x:f>
        <x:v>644.5687448907764</x:v>
      </x:c>
      <x:c r="U25" s="6" t="n">
        <x:f>'Assumptions'!$C$29-'Assumptions'!$C$27-'Assumptions'!$C$28+SUM(T$6:T25)-SUM(R$6:R25)</x:f>
        <x:v>4405.752098109942</x:v>
      </x:c>
      <x:c r="V25" s="6" t="n">
        <x:f>'Assumptions'!$C$24*'Assumptions'!$C$25</x:f>
        <x:v>800</x:v>
      </x:c>
      <x:c r="W25" s="6" t="n">
        <x:f>SUM(S$6:S25)-SUM(V$6:V25)-'Assumptions'!$C$27-'Assumptions'!$C$28-'Assumptions'!$C$26*'Assumptions'!$C$25</x:f>
        <x:v>-50917.45071975474</x:v>
      </x:c>
    </x:row>
    <x:row r="26" ht="22" customHeight="1">
      <x:c r="A26" s="46" t="n">
        <x:f>21</x:f>
        <x:v>21</x:v>
      </x:c>
      <x:c r="B26" s="6" t="n">
        <x:f>B25*(1+'Assumptions'!$C$7)</x:f>
        <x:v>5306.5954102888445</x:v>
      </x:c>
      <x:c r="C26" s="6" t="n">
        <x:f>SUM(B$6:B26)</x:f>
        <x:v>71438.50361606567</x:v>
      </x:c>
      <x:c r="D26" s="6" t="n">
        <x:f>B26*'Retention'!C6+B25*'Retention'!C7+B24*'Retention'!C8+B23*'Retention'!C9+B22*'Retention'!C10+B21*'Retention'!C11+B20*'Retention'!C12+B19*'Retention'!C13+B18*'Retention'!C14+B17*'Retention'!C15+B16*'Retention'!C16+B15*'Retention'!C17+B14*'Retention'!C18+B13*'Retention'!C19+B12*'Retention'!C20+B11*'Retention'!C21+B10*'Retention'!C22+B9*'Retention'!C23+B8*'Retention'!C24+B7*'Retention'!C25+B6*'Retention'!C26</x:f>
        <x:v>12044.502953259142</x:v>
      </x:c>
      <x:c r="E26" s="6" t="n">
        <x:f>D26*'Assumptions'!$C$15</x:f>
        <x:v>2408.900590651828</x:v>
      </x:c>
      <x:c r="F26" s="6" t="n">
        <x:f>IF(A26&gt;'Assumptions'!$C$30,INDEX(B$6:B$29,A26-'Assumptions'!$C$30),0)*'Assumptions'!$C$8</x:f>
        <x:v>75.80850586126921</x:v>
      </x:c>
      <x:c r="G26" s="6" t="n">
        <x:f>IF(A26&gt;'Assumptions'!$C$30,INDEX(B$6:B$29,A26-'Assumptions'!$C$30),0)*'Assumptions'!$C$10</x:f>
        <x:v>101.07800781502561</x:v>
      </x:c>
      <x:c r="H26" s="6" t="n">
        <x:f>F26*'Assumptions'!$C$9+G26*'Assumptions'!$C$11</x:f>
        <x:v>1034.2807149672497</x:v>
      </x:c>
      <x:c r="I26" s="6" t="n">
        <x:f>H26-H26/(1+'Assumptions'!$C$12)</x:f>
        <x:v>172.3801191612082</x:v>
      </x:c>
      <x:c r="J26" s="6" t="n">
        <x:f>(H26-I26)*'Assumptions'!$C$13</x:f>
        <x:v>25.857017874181242</x:v>
      </x:c>
      <x:c r="K26" s="6" t="n">
        <x:f>(H26-I26-J26)*'Assumptions'!$C$14</x:f>
        <x:v>125.40653668977903</x:v>
      </x:c>
      <x:c r="L26" s="6" t="n">
        <x:f>H26-SUM(I26:K26)</x:f>
        <x:v>710.6370412420812</x:v>
      </x:c>
      <x:c r="M26" s="6" t="n">
        <x:f>E26*'Assumptions'!$C$19*'Assumptions'!$C$17*'Assumptions'!$C$18/1000*'Assumptions'!$C$16</x:f>
        <x:v>0</x:v>
      </x:c>
      <x:c r="N26" s="6" t="n">
        <x:f>SUM(L26:M26)</x:f>
        <x:v>710.6370412420812</x:v>
      </x:c>
      <x:c r="O26" s="6" t="n">
        <x:f>'Assumptions'!$C$20+D26/1000*'Assumptions'!$C$21</x:f>
        <x:v>116.13350885977744</x:v>
      </x:c>
      <x:c r="P26" s="6" t="n">
        <x:f>'Assumptions'!$C$22</x:f>
        <x:v>50</x:v>
      </x:c>
      <x:c r="Q26" s="6" t="n">
        <x:f>'Assumptions'!$C$23</x:f>
        <x:v>0</x:v>
      </x:c>
      <x:c r="R26" s="6" t="n">
        <x:f>SUM(O26:Q26)</x:f>
        <x:v>166.13350885977744</x:v>
      </x:c>
      <x:c r="S26" s="6" t="n">
        <x:f>N26-R26</x:f>
        <x:v>544.5035323823038</x:v>
      </x:c>
      <x:c r="T26" s="6" t="n">
        <x:f>IF(A26&gt;'Assumptions'!$C$31,INDEX(N$6:N$29,A26-'Assumptions'!$C$31),0)</x:f>
        <x:v>676.7971821353153</x:v>
      </x:c>
      <x:c r="U26" s="6" t="n">
        <x:f>'Assumptions'!$C$29-'Assumptions'!$C$27-'Assumptions'!$C$28+SUM(T$6:T26)-SUM(R$6:R26)</x:f>
        <x:v>4916.41577138548</x:v>
      </x:c>
      <x:c r="V26" s="6" t="n">
        <x:f>'Assumptions'!$C$24*'Assumptions'!$C$25</x:f>
        <x:v>800</x:v>
      </x:c>
      <x:c r="W26" s="6" t="n">
        <x:f>SUM(S$6:S26)-SUM(V$6:V26)-'Assumptions'!$C$27-'Assumptions'!$C$28-'Assumptions'!$C$26*'Assumptions'!$C$25</x:f>
        <x:v>-51172.94718737244</x:v>
      </x:c>
    </x:row>
    <x:row r="27" ht="22" customHeight="1">
      <x:c r="A27" s="46" t="n">
        <x:f>22</x:f>
        <x:v>22</x:v>
      </x:c>
      <x:c r="B27" s="6" t="n">
        <x:f>B26*(1+'Assumptions'!$C$7)</x:f>
        <x:v>5571.925180803287</x:v>
      </x:c>
      <x:c r="C27" s="6" t="n">
        <x:f>SUM(B$6:B27)</x:f>
        <x:v>77010.42879686896</x:v>
      </x:c>
      <x:c r="D27" s="6" t="n">
        <x:f>B27*'Retention'!C6+B26*'Retention'!C7+B25*'Retention'!C8+B24*'Retention'!C9+B23*'Retention'!C10+B22*'Retention'!C11+B21*'Retention'!C12+B20*'Retention'!C13+B19*'Retention'!C14+B18*'Retention'!C15+B17*'Retention'!C16+B16*'Retention'!C17+B15*'Retention'!C18+B14*'Retention'!C19+B13*'Retention'!C20+B12*'Retention'!C21+B11*'Retention'!C22+B10*'Retention'!C23+B9*'Retention'!C24+B8*'Retention'!C25+B7*'Retention'!C26+B6*'Retention'!C27</x:f>
        <x:v>12761.832901411526</x:v>
      </x:c>
      <x:c r="E27" s="6" t="n">
        <x:f>D27*'Assumptions'!$C$15</x:f>
        <x:v>2552.366580282305</x:v>
      </x:c>
      <x:c r="F27" s="6" t="n">
        <x:f>IF(A27&gt;'Assumptions'!$C$30,INDEX(B$6:B$29,A27-'Assumptions'!$C$30),0)*'Assumptions'!$C$8</x:f>
        <x:v>79.59893115433266</x:v>
      </x:c>
      <x:c r="G27" s="6" t="n">
        <x:f>IF(A27&gt;'Assumptions'!$C$30,INDEX(B$6:B$29,A27-'Assumptions'!$C$30),0)*'Assumptions'!$C$10</x:f>
        <x:v>106.1319082057769</x:v>
      </x:c>
      <x:c r="H27" s="6" t="n">
        <x:f>F27*'Assumptions'!$C$9+G27*'Assumptions'!$C$11</x:f>
        <x:v>1085.994750715612</x:v>
      </x:c>
      <x:c r="I27" s="6" t="n">
        <x:f>H27-H27/(1+'Assumptions'!$C$12)</x:f>
        <x:v>180.99912511926868</x:v>
      </x:c>
      <x:c r="J27" s="6" t="n">
        <x:f>(H27-I27)*'Assumptions'!$C$13</x:f>
        <x:v>27.1498687678903</x:v>
      </x:c>
      <x:c r="K27" s="6" t="n">
        <x:f>(H27-I27-J27)*'Assumptions'!$C$14</x:f>
        <x:v>131.67686352426796</x:v>
      </x:c>
      <x:c r="L27" s="6" t="n">
        <x:f>H27-SUM(I27:K27)</x:f>
        <x:v>746.1688933041852</x:v>
      </x:c>
      <x:c r="M27" s="6" t="n">
        <x:f>E27*'Assumptions'!$C$19*'Assumptions'!$C$17*'Assumptions'!$C$18/1000*'Assumptions'!$C$16</x:f>
        <x:v>0</x:v>
      </x:c>
      <x:c r="N27" s="6" t="n">
        <x:f>SUM(L27:M27)</x:f>
        <x:v>746.1688933041852</x:v>
      </x:c>
      <x:c r="O27" s="6" t="n">
        <x:f>'Assumptions'!$C$20+D27/1000*'Assumptions'!$C$21</x:f>
        <x:v>118.28549870423458</x:v>
      </x:c>
      <x:c r="P27" s="6" t="n">
        <x:f>'Assumptions'!$C$22</x:f>
        <x:v>50</x:v>
      </x:c>
      <x:c r="Q27" s="6" t="n">
        <x:f>'Assumptions'!$C$23</x:f>
        <x:v>0</x:v>
      </x:c>
      <x:c r="R27" s="6" t="n">
        <x:f>SUM(O27:Q27)</x:f>
        <x:v>168.28549870423458</x:v>
      </x:c>
      <x:c r="S27" s="6" t="n">
        <x:f>N27-R27</x:f>
        <x:v>577.8833945999506</x:v>
      </x:c>
      <x:c r="T27" s="6" t="n">
        <x:f>IF(A27&gt;'Assumptions'!$C$31,INDEX(N$6:N$29,A27-'Assumptions'!$C$31),0)</x:f>
        <x:v>710.6370412420812</x:v>
      </x:c>
      <x:c r="U27" s="6" t="n">
        <x:f>'Assumptions'!$C$29-'Assumptions'!$C$27-'Assumptions'!$C$28+SUM(T$6:T27)-SUM(R$6:R27)</x:f>
        <x:v>5458.7673139233275</x:v>
      </x:c>
      <x:c r="V27" s="6" t="n">
        <x:f>'Assumptions'!$C$24*'Assumptions'!$C$25</x:f>
        <x:v>800</x:v>
      </x:c>
      <x:c r="W27" s="6" t="n">
        <x:f>SUM(S$6:S27)-SUM(V$6:V27)-'Assumptions'!$C$27-'Assumptions'!$C$28-'Assumptions'!$C$26*'Assumptions'!$C$25</x:f>
        <x:v>-51395.06379277249</x:v>
      </x:c>
    </x:row>
    <x:row r="28" ht="22" customHeight="1">
      <x:c r="A28" s="46" t="n">
        <x:f>23</x:f>
        <x:v>23</x:v>
      </x:c>
      <x:c r="B28" s="6" t="n">
        <x:f>B27*(1+'Assumptions'!$C$7)</x:f>
        <x:v>5850.521439843452</x:v>
      </x:c>
      <x:c r="C28" s="6" t="n">
        <x:f>SUM(B$6:B28)</x:f>
        <x:v>82860.95023671241</x:v>
      </x:c>
      <x:c r="D28" s="6" t="n">
        <x:f>B28*'Retention'!C6+B27*'Retention'!C7+B26*'Retention'!C8+B25*'Retention'!C9+B24*'Retention'!C10+B23*'Retention'!C11+B22*'Retention'!C12+B21*'Retention'!C13+B20*'Retention'!C14+B19*'Retention'!C15+B18*'Retention'!C16+B17*'Retention'!C17+B16*'Retention'!C18+B15*'Retention'!C19+B14*'Retention'!C20+B13*'Retention'!C21+B12*'Retention'!C22+B11*'Retention'!C23+B10*'Retention'!C24+B9*'Retention'!C25+B8*'Retention'!C26+B7*'Retention'!C27+B6*'Retention'!C28</x:f>
        <x:v>13510.425154951958</x:v>
      </x:c>
      <x:c r="E28" s="6" t="n">
        <x:f>D28*'Assumptions'!$C$15</x:f>
        <x:v>2702.0850309903917</x:v>
      </x:c>
      <x:c r="F28" s="6" t="n">
        <x:f>IF(A28&gt;'Assumptions'!$C$30,INDEX(B$6:B$29,A28-'Assumptions'!$C$30),0)*'Assumptions'!$C$8</x:f>
        <x:v>83.5788777120493</x:v>
      </x:c>
      <x:c r="G28" s="6" t="n">
        <x:f>IF(A28&gt;'Assumptions'!$C$30,INDEX(B$6:B$29,A28-'Assumptions'!$C$30),0)*'Assumptions'!$C$10</x:f>
        <x:v>111.43850361606574</x:v>
      </x:c>
      <x:c r="H28" s="6" t="n">
        <x:f>F28*'Assumptions'!$C$9+G28*'Assumptions'!$C$11</x:f>
        <x:v>1140.2944882513927</x:v>
      </x:c>
      <x:c r="I28" s="6" t="n">
        <x:f>H28-H28/(1+'Assumptions'!$C$12)</x:f>
        <x:v>190.04908137523205</x:v>
      </x:c>
      <x:c r="J28" s="6" t="n">
        <x:f>(H28-I28)*'Assumptions'!$C$13</x:f>
        <x:v>28.50736220628482</x:v>
      </x:c>
      <x:c r="K28" s="6" t="n">
        <x:f>(H28-I28-J28)*'Assumptions'!$C$14</x:f>
        <x:v>138.26070670048136</x:v>
      </x:c>
      <x:c r="L28" s="6" t="n">
        <x:f>H28-SUM(I28:K28)</x:f>
        <x:v>783.4773379693945</x:v>
      </x:c>
      <x:c r="M28" s="6" t="n">
        <x:f>E28*'Assumptions'!$C$19*'Assumptions'!$C$17*'Assumptions'!$C$18/1000*'Assumptions'!$C$16</x:f>
        <x:v>0</x:v>
      </x:c>
      <x:c r="N28" s="6" t="n">
        <x:f>SUM(L28:M28)</x:f>
        <x:v>783.4773379693945</x:v>
      </x:c>
      <x:c r="O28" s="6" t="n">
        <x:f>'Assumptions'!$C$20+D28/1000*'Assumptions'!$C$21</x:f>
        <x:v>120.53127546485587</x:v>
      </x:c>
      <x:c r="P28" s="6" t="n">
        <x:f>'Assumptions'!$C$22</x:f>
        <x:v>50</x:v>
      </x:c>
      <x:c r="Q28" s="6" t="n">
        <x:f>'Assumptions'!$C$23</x:f>
        <x:v>0</x:v>
      </x:c>
      <x:c r="R28" s="6" t="n">
        <x:f>SUM(O28:Q28)</x:f>
        <x:v>170.53127546485587</x:v>
      </x:c>
      <x:c r="S28" s="6" t="n">
        <x:f>N28-R28</x:f>
        <x:v>612.9460625045386</x:v>
      </x:c>
      <x:c r="T28" s="6" t="n">
        <x:f>IF(A28&gt;'Assumptions'!$C$31,INDEX(N$6:N$29,A28-'Assumptions'!$C$31),0)</x:f>
        <x:v>746.1688933041852</x:v>
      </x:c>
      <x:c r="U28" s="6" t="n">
        <x:f>'Assumptions'!$C$29-'Assumptions'!$C$27-'Assumptions'!$C$28+SUM(T$6:T28)-SUM(R$6:R28)</x:f>
        <x:v>6034.404931762658</x:v>
      </x:c>
      <x:c r="V28" s="6" t="n">
        <x:f>'Assumptions'!$C$24*'Assumptions'!$C$25</x:f>
        <x:v>800</x:v>
      </x:c>
      <x:c r="W28" s="6" t="n">
        <x:f>SUM(S$6:S28)-SUM(V$6:V28)-'Assumptions'!$C$27-'Assumptions'!$C$28-'Assumptions'!$C$26*'Assumptions'!$C$25</x:f>
        <x:v>-51582.11773026795</x:v>
      </x:c>
    </x:row>
    <x:row r="29" ht="22" customHeight="1">
      <x:c r="A29" s="46" t="n">
        <x:f>24</x:f>
        <x:v>24</x:v>
      </x:c>
      <x:c r="B29" s="6" t="n">
        <x:f>B28*(1+'Assumptions'!$C$7)</x:f>
        <x:v>6143.047511835624</x:v>
      </x:c>
      <x:c r="C29" s="6" t="n">
        <x:f>SUM(B$6:B29)</x:f>
        <x:v>89003.99774854803</x:v>
      </x:c>
      <x:c r="D29" s="6" t="n">
        <x:f>B29*'Retention'!C6+B28*'Retention'!C7+B27*'Retention'!C8+B26*'Retention'!C9+B25*'Retention'!C10+B24*'Retention'!C11+B23*'Retention'!C12+B22*'Retention'!C13+B21*'Retention'!C14+B20*'Retention'!C15+B19*'Retention'!C16+B18*'Retention'!C17+B17*'Retention'!C18+B16*'Retention'!C19+B15*'Retention'!C20+B14*'Retention'!C21+B13*'Retention'!C22+B12*'Retention'!C23+B11*'Retention'!C24+B10*'Retention'!C25+B9*'Retention'!C26+B8*'Retention'!C27+B7*'Retention'!C28+B6*'Retention'!C29</x:f>
        <x:v>14292.026996830613</x:v>
      </x:c>
      <x:c r="E29" s="6" t="n">
        <x:f>D29*'Assumptions'!$C$15</x:f>
        <x:v>2858.4053993661228</x:v>
      </x:c>
      <x:c r="F29" s="6" t="n">
        <x:f>IF(A29&gt;'Assumptions'!$C$30,INDEX(B$6:B$29,A29-'Assumptions'!$C$30),0)*'Assumptions'!$C$8</x:f>
        <x:v>87.75782159765177</x:v>
      </x:c>
      <x:c r="G29" s="6" t="n">
        <x:f>IF(A29&gt;'Assumptions'!$C$30,INDEX(B$6:B$29,A29-'Assumptions'!$C$30),0)*'Assumptions'!$C$10</x:f>
        <x:v>117.01042879686904</x:v>
      </x:c>
      <x:c r="H29" s="6" t="n">
        <x:f>F29*'Assumptions'!$C$9+G29*'Assumptions'!$C$11</x:f>
        <x:v>1197.3092126639624</x:v>
      </x:c>
      <x:c r="I29" s="6" t="n">
        <x:f>H29-H29/(1+'Assumptions'!$C$12)</x:f>
        <x:v>199.55153544399366</x:v>
      </x:c>
      <x:c r="J29" s="6" t="n">
        <x:f>(H29-I29)*'Assumptions'!$C$13</x:f>
        <x:v>29.932730316599063</x:v>
      </x:c>
      <x:c r="K29" s="6" t="n">
        <x:f>(H29-I29-J29)*'Assumptions'!$C$14</x:f>
        <x:v>145.17374203550546</x:v>
      </x:c>
      <x:c r="L29" s="6" t="n">
        <x:f>H29-SUM(I29:K29)</x:f>
        <x:v>822.6512048678642</x:v>
      </x:c>
      <x:c r="M29" s="6" t="n">
        <x:f>E29*'Assumptions'!$C$19*'Assumptions'!$C$17*'Assumptions'!$C$18/1000*'Assumptions'!$C$16</x:f>
        <x:v>0</x:v>
      </x:c>
      <x:c r="N29" s="6" t="n">
        <x:f>SUM(L29:M29)</x:f>
        <x:v>822.6512048678642</x:v>
      </x:c>
      <x:c r="O29" s="6" t="n">
        <x:f>'Assumptions'!$C$20+D29/1000*'Assumptions'!$C$21</x:f>
        <x:v>122.87608099049183</x:v>
      </x:c>
      <x:c r="P29" s="6" t="n">
        <x:f>'Assumptions'!$C$22</x:f>
        <x:v>50</x:v>
      </x:c>
      <x:c r="Q29" s="6" t="n">
        <x:f>'Assumptions'!$C$23</x:f>
        <x:v>0</x:v>
      </x:c>
      <x:c r="R29" s="6" t="n">
        <x:f>SUM(O29:Q29)</x:f>
        <x:v>172.87608099049183</x:v>
      </x:c>
      <x:c r="S29" s="6" t="n">
        <x:f>N29-R29</x:f>
        <x:v>649.7751238773724</x:v>
      </x:c>
      <x:c r="T29" s="6" t="n">
        <x:f>IF(A29&gt;'Assumptions'!$C$31,INDEX(N$6:N$29,A29-'Assumptions'!$C$31),0)</x:f>
        <x:v>783.4773379693945</x:v>
      </x:c>
      <x:c r="U29" s="6" t="n">
        <x:f>'Assumptions'!$C$29-'Assumptions'!$C$27-'Assumptions'!$C$28+SUM(T$6:T29)-SUM(R$6:R29)</x:f>
        <x:v>6645.0061887415595</x:v>
      </x:c>
      <x:c r="V29" s="6" t="n">
        <x:f>'Assumptions'!$C$24*'Assumptions'!$C$25</x:f>
        <x:v>800</x:v>
      </x:c>
      <x:c r="W29" s="6" t="n">
        <x:f>SUM(S$6:S29)-SUM(V$6:V29)-'Assumptions'!$C$27-'Assumptions'!$C$28-'Assumptions'!$C$26*'Assumptions'!$C$25</x:f>
        <x:v>-51732.34260639058</x:v>
      </x:c>
    </x:row>
    <x:row r="30" ht="22" customHeight="1">
      <x:c r="A30" s="6"/>
      <x:c r="B30" s="6"/>
      <x:c r="C30" s="6"/>
      <x:c r="D30" s="6"/>
      <x:c r="E30" s="6"/>
      <x:c r="F30" s="6"/>
      <x:c r="G30" s="6"/>
      <x:c r="H30" s="6"/>
      <x:c r="I30" s="6"/>
      <x:c r="J30" s="6"/>
      <x:c r="K30" s="6"/>
      <x:c r="L30" s="6"/>
      <x:c r="M30" s="6"/>
      <x:c r="N30" s="6"/>
      <x:c r="O30" s="6"/>
      <x:c r="P30" s="6"/>
      <x:c r="Q30" s="6"/>
      <x:c r="R30" s="6"/>
      <x:c r="S30" s="6"/>
      <x:c r="T30" s="6"/>
      <x:c r="U30" s="6"/>
      <x:c r="V30" s="6"/>
      <x:c r="W30" s="6"/>
    </x:row>
    <x:row r="31" ht="22" customHeight="1">
      <x:c r="A31" s="6"/>
      <x:c r="B31" s="6"/>
      <x:c r="C31" s="6"/>
      <x:c r="D31" s="6"/>
      <x:c r="E31" s="6"/>
      <x:c r="F31" s="6"/>
      <x:c r="G31" s="6"/>
      <x:c r="H31" s="6"/>
      <x:c r="I31" s="6"/>
      <x:c r="J31" s="6"/>
      <x:c r="K31" s="6"/>
      <x:c r="L31" s="6"/>
      <x:c r="M31" s="6"/>
      <x:c r="N31" s="6"/>
      <x:c r="O31" s="6"/>
      <x:c r="P31" s="6"/>
      <x:c r="Q31" s="6"/>
      <x:c r="R31" s="6"/>
      <x:c r="S31" s="6"/>
      <x:c r="T31" s="6"/>
      <x:c r="U31" s="6"/>
      <x:c r="V31" s="6"/>
      <x:c r="W31" s="6"/>
    </x:row>
    <x:row r="32" ht="22" customHeight="1">
      <x:c r="A32" s="44" t="str">
        <x:v>24-MONTH SUMMARY</x:v>
      </x:c>
      <x:c r="B32" s="44"/>
      <x:c r="C32" s="6"/>
      <x:c r="D32" s="6"/>
      <x:c r="E32" s="6"/>
      <x:c r="F32" s="6"/>
      <x:c r="G32" s="6"/>
      <x:c r="H32" s="6"/>
      <x:c r="I32" s="6"/>
      <x:c r="J32" s="6"/>
      <x:c r="K32" s="6"/>
      <x:c r="L32" s="6"/>
      <x:c r="M32" s="6"/>
      <x:c r="N32" s="6"/>
      <x:c r="O32" s="6"/>
      <x:c r="P32" s="6"/>
      <x:c r="Q32" s="6"/>
      <x:c r="R32" s="6"/>
      <x:c r="S32" s="6"/>
      <x:c r="T32" s="6"/>
      <x:c r="U32" s="6"/>
      <x:c r="V32" s="6"/>
      <x:c r="W32" s="6"/>
    </x:row>
    <x:row r="33" ht="22" customHeight="1">
      <x:c r="A33" s="6" t="str">
        <x:v>Installs</x:v>
      </x:c>
      <x:c r="B33" s="6" t="n">
        <x:f>SUM(B6:B29)</x:f>
        <x:v>89003.99774854803</x:v>
      </x:c>
      <x:c r="C33" s="6"/>
      <x:c r="D33" s="6"/>
      <x:c r="E33" s="6"/>
      <x:c r="F33" s="6"/>
      <x:c r="G33" s="6"/>
      <x:c r="H33" s="6"/>
      <x:c r="I33" s="6"/>
      <x:c r="J33" s="6"/>
      <x:c r="K33" s="6"/>
      <x:c r="L33" s="6"/>
      <x:c r="M33" s="6"/>
      <x:c r="N33" s="6"/>
      <x:c r="O33" s="6"/>
      <x:c r="P33" s="6"/>
      <x:c r="Q33" s="6"/>
      <x:c r="R33" s="6"/>
      <x:c r="S33" s="6"/>
      <x:c r="T33" s="6"/>
      <x:c r="U33" s="6"/>
      <x:c r="V33" s="6"/>
      <x:c r="W33" s="6"/>
    </x:row>
    <x:row r="34" ht="22" customHeight="1">
      <x:c r="A34" s="6" t="str">
        <x:v>Gross consumer purchases</x:v>
      </x:c>
      <x:c r="B34" s="6" t="n">
        <x:f>SUM(H6:H29)</x:f>
        <x:v>16957.493465943196</x:v>
      </x:c>
      <x:c r="C34" s="6"/>
      <x:c r="D34" s="6"/>
      <x:c r="E34" s="6"/>
      <x:c r="F34" s="6"/>
      <x:c r="G34" s="6"/>
      <x:c r="H34" s="6"/>
      <x:c r="I34" s="6"/>
      <x:c r="J34" s="6"/>
      <x:c r="K34" s="6"/>
      <x:c r="L34" s="6"/>
      <x:c r="M34" s="6"/>
      <x:c r="N34" s="6"/>
      <x:c r="O34" s="6"/>
      <x:c r="P34" s="6"/>
      <x:c r="Q34" s="6"/>
      <x:c r="R34" s="6"/>
      <x:c r="S34" s="6"/>
      <x:c r="T34" s="6"/>
      <x:c r="U34" s="6"/>
      <x:c r="V34" s="6"/>
      <x:c r="W34" s="6"/>
    </x:row>
    <x:row r="35" ht="22" customHeight="1">
      <x:c r="A35" s="6" t="str">
        <x:v>Net developer revenue</x:v>
      </x:c>
      <x:c r="B35" s="6" t="n">
        <x:f>SUM(N6:N29)</x:f>
        <x:v>11651.211135558475</x:v>
      </x:c>
      <x:c r="C35" s="6"/>
      <x:c r="D35" s="6"/>
      <x:c r="E35" s="6"/>
      <x:c r="F35" s="6"/>
      <x:c r="G35" s="6"/>
      <x:c r="H35" s="6"/>
      <x:c r="I35" s="6"/>
      <x:c r="J35" s="6"/>
      <x:c r="K35" s="6"/>
      <x:c r="L35" s="6"/>
      <x:c r="M35" s="6"/>
      <x:c r="N35" s="6"/>
      <x:c r="O35" s="6"/>
      <x:c r="P35" s="6"/>
      <x:c r="Q35" s="6"/>
      <x:c r="R35" s="6"/>
      <x:c r="S35" s="6"/>
      <x:c r="T35" s="6"/>
      <x:c r="U35" s="6"/>
      <x:c r="V35" s="6"/>
      <x:c r="W35" s="6"/>
    </x:row>
    <x:row r="36" ht="22" customHeight="1">
      <x:c r="A36" s="6" t="str">
        <x:v>Cash operating costs</x:v>
      </x:c>
      <x:c r="B36" s="6" t="n">
        <x:f>SUM(R6:R29)</x:f>
        <x:v>3653.5537419490515</x:v>
      </x:c>
      <x:c r="C36" s="6"/>
      <x:c r="D36" s="6"/>
      <x:c r="E36" s="6"/>
      <x:c r="F36" s="6"/>
      <x:c r="G36" s="6"/>
      <x:c r="H36" s="6"/>
      <x:c r="I36" s="6"/>
      <x:c r="J36" s="6"/>
      <x:c r="K36" s="6"/>
      <x:c r="L36" s="6"/>
      <x:c r="M36" s="6"/>
      <x:c r="N36" s="6"/>
      <x:c r="O36" s="6"/>
      <x:c r="P36" s="6"/>
      <x:c r="Q36" s="6"/>
      <x:c r="R36" s="6"/>
      <x:c r="S36" s="6"/>
      <x:c r="T36" s="6"/>
      <x:c r="U36" s="6"/>
      <x:c r="V36" s="6"/>
      <x:c r="W36" s="6"/>
    </x:row>
    <x:row r="37" ht="22" customHeight="1">
      <x:c r="A37" s="6" t="str">
        <x:v>Operating contribution</x:v>
      </x:c>
      <x:c r="B37" s="6" t="n">
        <x:f>SUM(S6:S29)</x:f>
        <x:v>7997.657393609421</x:v>
      </x:c>
      <x:c r="C37" s="6"/>
      <x:c r="D37" s="6"/>
      <x:c r="E37" s="6"/>
      <x:c r="F37" s="6"/>
      <x:c r="G37" s="6"/>
      <x:c r="H37" s="6"/>
      <x:c r="I37" s="6"/>
      <x:c r="J37" s="6"/>
      <x:c r="K37" s="6"/>
      <x:c r="L37" s="6"/>
      <x:c r="M37" s="6"/>
      <x:c r="N37" s="6"/>
      <x:c r="O37" s="6"/>
      <x:c r="P37" s="6"/>
      <x:c r="Q37" s="6"/>
      <x:c r="R37" s="6"/>
      <x:c r="S37" s="6"/>
      <x:c r="T37" s="6"/>
      <x:c r="U37" s="6"/>
      <x:c r="V37" s="6"/>
      <x:c r="W37" s="6"/>
    </x:row>
    <x:row r="38" ht="22" customHeight="1">
      <x:c r="A38" s="6" t="str">
        <x:v>Prelaunch cash + registration</x:v>
      </x:c>
      <x:c r="B38" s="6" t="n">
        <x:f>'Assumptions'!$C$27+'Assumptions'!$C$28</x:f>
        <x:v>530</x:v>
      </x:c>
      <x:c r="C38" s="6"/>
      <x:c r="D38" s="6"/>
      <x:c r="E38" s="6"/>
      <x:c r="F38" s="6"/>
      <x:c r="G38" s="6"/>
      <x:c r="H38" s="6"/>
      <x:c r="I38" s="6"/>
      <x:c r="J38" s="6"/>
      <x:c r="K38" s="6"/>
      <x:c r="L38" s="6"/>
      <x:c r="M38" s="6"/>
      <x:c r="N38" s="6"/>
      <x:c r="O38" s="6"/>
      <x:c r="P38" s="6"/>
      <x:c r="Q38" s="6"/>
      <x:c r="R38" s="6"/>
      <x:c r="S38" s="6"/>
      <x:c r="T38" s="6"/>
      <x:c r="U38" s="6"/>
      <x:c r="V38" s="6"/>
      <x:c r="W38" s="6"/>
    </x:row>
    <x:row r="39" ht="22" customHeight="1">
      <x:c r="A39" s="6" t="str">
        <x:v>Result before founder time (accrual)</x:v>
      </x:c>
      <x:c r="B39" s="50" t="n">
        <x:f>B37-B38</x:f>
        <x:v>7467.657393609421</x:v>
      </x:c>
      <x:c r="C39" s="6"/>
      <x:c r="D39" s="6"/>
      <x:c r="E39" s="6"/>
      <x:c r="F39" s="6"/>
      <x:c r="G39" s="6"/>
      <x:c r="H39" s="6"/>
      <x:c r="I39" s="6"/>
      <x:c r="J39" s="6"/>
      <x:c r="K39" s="6"/>
      <x:c r="L39" s="6"/>
      <x:c r="M39" s="6"/>
      <x:c r="N39" s="6"/>
      <x:c r="O39" s="6"/>
      <x:c r="P39" s="6"/>
      <x:c r="Q39" s="6"/>
      <x:c r="R39" s="6"/>
      <x:c r="S39" s="6"/>
      <x:c r="T39" s="6"/>
      <x:c r="U39" s="6"/>
      <x:c r="V39" s="6"/>
      <x:c r="W39" s="6"/>
    </x:row>
    <x:row r="40" ht="22" customHeight="1">
      <x:c r="A40" s="6" t="str">
        <x:v>Cash collected</x:v>
      </x:c>
      <x:c r="B40" s="6" t="n">
        <x:f>SUM(T6:T29)</x:f>
        <x:v>10828.559930690612</x:v>
      </x:c>
      <x:c r="C40" s="6"/>
      <x:c r="D40" s="6"/>
      <x:c r="E40" s="6"/>
      <x:c r="F40" s="6"/>
      <x:c r="G40" s="6"/>
      <x:c r="H40" s="6"/>
      <x:c r="I40" s="6"/>
      <x:c r="J40" s="6"/>
      <x:c r="K40" s="6"/>
      <x:c r="L40" s="6"/>
      <x:c r="M40" s="6"/>
      <x:c r="N40" s="6"/>
      <x:c r="O40" s="6"/>
      <x:c r="P40" s="6"/>
      <x:c r="Q40" s="6"/>
      <x:c r="R40" s="6"/>
      <x:c r="S40" s="6"/>
      <x:c r="T40" s="6"/>
      <x:c r="U40" s="6"/>
      <x:c r="V40" s="6"/>
      <x:c r="W40" s="6"/>
    </x:row>
    <x:row r="41" ht="22" customHeight="1">
      <x:c r="A41" s="6" t="str">
        <x:v>Cash balance at month 24</x:v>
      </x:c>
      <x:c r="B41" s="6" t="n">
        <x:f>U29</x:f>
        <x:v>6645.0061887415595</x:v>
      </x:c>
      <x:c r="C41" s="6"/>
      <x:c r="D41" s="6"/>
      <x:c r="E41" s="6"/>
      <x:c r="F41" s="6"/>
      <x:c r="G41" s="6"/>
      <x:c r="H41" s="6"/>
      <x:c r="I41" s="6"/>
      <x:c r="J41" s="6"/>
      <x:c r="K41" s="6"/>
      <x:c r="L41" s="6"/>
      <x:c r="M41" s="6"/>
      <x:c r="N41" s="6"/>
      <x:c r="O41" s="6"/>
      <x:c r="P41" s="6"/>
      <x:c r="Q41" s="6"/>
      <x:c r="R41" s="6"/>
      <x:c r="S41" s="6"/>
      <x:c r="T41" s="6"/>
      <x:c r="U41" s="6"/>
      <x:c r="V41" s="6"/>
      <x:c r="W41" s="6"/>
    </x:row>
    <x:row r="42" ht="22" customHeight="1">
      <x:c r="A42" s="6" t="str">
        <x:v>Uncollected revenue at month 24</x:v>
      </x:c>
      <x:c r="B42" s="6" t="n">
        <x:f>SUM(N6:N29)-SUM(T6:T29)</x:f>
        <x:v>822.6512048678633</x:v>
      </x:c>
      <x:c r="C42" s="6"/>
      <x:c r="D42" s="6"/>
      <x:c r="E42" s="6"/>
      <x:c r="F42" s="6"/>
      <x:c r="G42" s="6"/>
      <x:c r="H42" s="6"/>
      <x:c r="I42" s="6"/>
      <x:c r="J42" s="6"/>
      <x:c r="K42" s="6"/>
      <x:c r="L42" s="6"/>
      <x:c r="M42" s="6"/>
      <x:c r="N42" s="6"/>
      <x:c r="O42" s="6"/>
      <x:c r="P42" s="6"/>
      <x:c r="Q42" s="6"/>
      <x:c r="R42" s="6"/>
      <x:c r="S42" s="6"/>
      <x:c r="T42" s="6"/>
      <x:c r="U42" s="6"/>
      <x:c r="V42" s="6"/>
      <x:c r="W42" s="6"/>
    </x:row>
    <x:row r="43" ht="22" customHeight="1">
      <x:c r="A43" s="6" t="str">
        <x:v>Peak funding required</x:v>
      </x:c>
      <x:c r="B43" s="6" t="n">
        <x:f>MAX(0,-MIN(U6:U29),'Assumptions'!$C$27+'Assumptions'!$C$28-'Assumptions'!$C$29)</x:f>
        <x:v>802.57</x:v>
      </x:c>
      <x:c r="C43" s="6"/>
      <x:c r="D43" s="6"/>
      <x:c r="E43" s="6"/>
      <x:c r="F43" s="6"/>
      <x:c r="G43" s="6"/>
      <x:c r="H43" s="6"/>
      <x:c r="I43" s="6"/>
      <x:c r="J43" s="6"/>
      <x:c r="K43" s="6"/>
      <x:c r="L43" s="6"/>
      <x:c r="M43" s="6"/>
      <x:c r="N43" s="6"/>
      <x:c r="O43" s="6"/>
      <x:c r="P43" s="6"/>
      <x:c r="Q43" s="6"/>
      <x:c r="R43" s="6"/>
      <x:c r="S43" s="6"/>
      <x:c r="T43" s="6"/>
      <x:c r="U43" s="6"/>
      <x:c r="V43" s="6"/>
      <x:c r="W43" s="6"/>
    </x:row>
    <x:row r="44" ht="22" customHeight="1">
      <x:c r="A44" s="6" t="str">
        <x:v>Founder development + operations value</x:v>
      </x:c>
      <x:c r="B44" s="6" t="n">
        <x:f>'Assumptions'!$C$26*'Assumptions'!$C$25+SUM(V6:V29)</x:f>
        <x:v>59200</x:v>
      </x:c>
      <x:c r="C44" s="6"/>
      <x:c r="D44" s="6"/>
      <x:c r="E44" s="6"/>
      <x:c r="F44" s="6"/>
      <x:c r="G44" s="6"/>
      <x:c r="H44" s="6"/>
      <x:c r="I44" s="6"/>
      <x:c r="J44" s="6"/>
      <x:c r="K44" s="6"/>
      <x:c r="L44" s="6"/>
      <x:c r="M44" s="6"/>
      <x:c r="N44" s="6"/>
      <x:c r="O44" s="6"/>
      <x:c r="P44" s="6"/>
      <x:c r="Q44" s="6"/>
      <x:c r="R44" s="6"/>
      <x:c r="S44" s="6"/>
      <x:c r="T44" s="6"/>
      <x:c r="U44" s="6"/>
      <x:c r="V44" s="6"/>
      <x:c r="W44" s="6"/>
    </x:row>
    <x:row r="45" ht="22" customHeight="1">
      <x:c r="A45" s="6" t="str">
        <x:v>Economic result after founder time</x:v>
      </x:c>
      <x:c r="B45" s="6" t="n">
        <x:f>B39-B44</x:f>
        <x:v>-51732.34260639058</x:v>
      </x:c>
      <x:c r="C45" s="6"/>
      <x:c r="D45" s="6"/>
      <x:c r="E45" s="6"/>
      <x:c r="F45" s="6"/>
      <x:c r="G45" s="6"/>
      <x:c r="H45" s="6"/>
      <x:c r="I45" s="6"/>
      <x:c r="J45" s="6"/>
      <x:c r="K45" s="6"/>
      <x:c r="L45" s="6"/>
      <x:c r="M45" s="6"/>
      <x:c r="N45" s="6"/>
      <x:c r="O45" s="6"/>
      <x:c r="P45" s="6"/>
      <x:c r="Q45" s="6"/>
      <x:c r="R45" s="6"/>
      <x:c r="S45" s="6"/>
      <x:c r="T45" s="6"/>
      <x:c r="U45" s="6"/>
      <x:c r="V45" s="6"/>
      <x:c r="W45" s="6"/>
    </x:row>
    <x:row r="46" ht="22" customHeight="1">
      <x:c r="A46" s="6" t="str">
        <x:v>Net IAP / monetized-cohort install</x:v>
      </x:c>
      <x:c r="B46" s="48" t="n">
        <x:f>('Assumptions'!$C$8*'Assumptions'!$C$9+'Assumptions'!$C$10*'Assumptions'!$C$11)/(1+'Assumptions'!$C$12)*(1-'Assumptions'!$C$13)*(1-'Assumptions'!$C$14)</x:f>
        <x:v>0.14061160416666665</x:v>
      </x:c>
      <x:c r="C46" s="6"/>
      <x:c r="D46" s="6"/>
      <x:c r="E46" s="6"/>
      <x:c r="F46" s="6"/>
      <x:c r="G46" s="6"/>
      <x:c r="H46" s="6"/>
      <x:c r="I46" s="6"/>
      <x:c r="J46" s="6"/>
      <x:c r="K46" s="6"/>
      <x:c r="L46" s="6"/>
      <x:c r="M46" s="6"/>
      <x:c r="N46" s="6"/>
      <x:c r="O46" s="6"/>
      <x:c r="P46" s="6"/>
      <x:c r="Q46" s="6"/>
      <x:c r="R46" s="6"/>
      <x:c r="S46" s="6"/>
      <x:c r="T46" s="6"/>
      <x:c r="U46" s="6"/>
      <x:c r="V46" s="6"/>
      <x:c r="W46" s="6"/>
    </x:row>
  </x:sheetData>
  <x:mergeCells>
    <x:mergeCell ref="A1:W1"/>
    <x:mergeCell ref="A2:W3"/>
  </x:mergeCells>
  <x:conditionalFormatting sqref="U6:U29">
    <x:cfRule type="cellIs" dxfId="1" priority="1" operator="lessThan">
      <x:formula>0</x:formula>
    </x:cfRule>
  </x:conditionalFormatting>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40" hidden="0" customWidth="1"/>
    <x:col min="2" max="2" width="17" hidden="0" customWidth="1"/>
    <x:col min="3" max="3" width="17" hidden="0" customWidth="1"/>
    <x:col min="4" max="4" width="17" hidden="0" customWidth="1"/>
    <x:col min="5" max="5" width="17" hidden="0" customWidth="1"/>
    <x:col min="6" max="6" width="17" hidden="0" customWidth="1"/>
    <x:col min="7" max="7" width="17" hidden="0" customWidth="1"/>
    <x:col min="8" max="8" width="17" hidden="0" customWidth="1"/>
    <x:col min="9" max="9" width="17" hidden="0" customWidth="1"/>
    <x:col min="10" max="10" width="17" hidden="0" customWidth="1"/>
    <x:col min="11" max="11" width="17" hidden="0" customWidth="1"/>
    <x:col min="12" max="12" width="17" hidden="0" customWidth="1"/>
    <x:col min="13" max="13" width="17" hidden="0" customWidth="1"/>
    <x:col min="14" max="14" width="17" hidden="0" customWidth="1"/>
    <x:col min="15" max="15" width="17" hidden="0" customWidth="1"/>
    <x:col min="16" max="16" width="17" hidden="0" customWidth="1"/>
    <x:col min="17" max="17" width="17" hidden="0" customWidth="1"/>
    <x:col min="18" max="18" width="17" hidden="0" customWidth="1"/>
    <x:col min="19" max="19" width="17" hidden="0" customWidth="1"/>
    <x:col min="20" max="20" width="17" hidden="0" customWidth="1"/>
    <x:col min="21" max="21" width="17" hidden="0" customWidth="1"/>
    <x:col min="22" max="22" width="17" hidden="0" customWidth="1"/>
    <x:col min="23" max="23" width="17" hidden="0" customWidth="1"/>
  </x:cols>
  <x:sheetData>
    <x:row r="1" ht="22" customHeight="1">
      <x:c r="A1" s="12" t="str">
        <x:v>STRONG CASE — 24-month launch cohort model | EUR</x:v>
      </x:c>
      <x:c r="B1" s="12"/>
      <x:c r="C1" s="12"/>
      <x:c r="D1" s="12"/>
      <x:c r="E1" s="6"/>
      <x:c r="F1" s="6"/>
      <x:c r="G1" s="6"/>
      <x:c r="H1" s="6"/>
      <x:c r="I1" s="6"/>
      <x:c r="J1" s="6"/>
      <x:c r="K1" s="6"/>
      <x:c r="L1" s="6"/>
      <x:c r="M1" s="6"/>
      <x:c r="N1" s="6"/>
      <x:c r="O1" s="6"/>
      <x:c r="P1" s="6"/>
      <x:c r="Q1" s="6"/>
      <x:c r="R1" s="6"/>
      <x:c r="S1" s="6"/>
      <x:c r="T1" s="6"/>
      <x:c r="U1" s="6"/>
      <x:c r="V1" s="6"/>
      <x:c r="W1" s="6"/>
    </x:row>
    <x:row r="2" ht="22" customHeight="1">
      <x:c r="A2" s="14" t="str">
        <x:v>Month 1 = launch. Purchase and collection lags use Assumptions (default: one month each). Expected order counts may be fractional. No recurring purchases assumed. Cloud and moderation costs continue when new installs slow.</x:v>
      </x:c>
      <x:c r="B2" s="14"/>
      <x:c r="C2" s="14"/>
      <x:c r="D2" s="14"/>
      <x:c r="E2" s="15"/>
      <x:c r="F2" s="15"/>
      <x:c r="G2" s="15"/>
      <x:c r="H2" s="15"/>
      <x:c r="I2" s="15"/>
      <x:c r="J2" s="15"/>
      <x:c r="K2" s="15"/>
      <x:c r="L2" s="15"/>
      <x:c r="M2" s="15"/>
      <x:c r="N2" s="15"/>
      <x:c r="O2" s="15"/>
      <x:c r="P2" s="15"/>
      <x:c r="Q2" s="15"/>
      <x:c r="R2" s="15"/>
      <x:c r="S2" s="15"/>
      <x:c r="T2" s="15"/>
      <x:c r="U2" s="15"/>
      <x:c r="V2" s="15"/>
      <x:c r="W2" s="15"/>
    </x:row>
    <x:row r="3" ht="22" customHeight="1">
      <x:c r="A3" s="15"/>
      <x:c r="B3" s="15"/>
      <x:c r="C3" s="15"/>
      <x:c r="D3" s="15"/>
      <x:c r="E3" s="15"/>
      <x:c r="F3" s="15"/>
      <x:c r="G3" s="15"/>
      <x:c r="H3" s="15"/>
      <x:c r="I3" s="15"/>
      <x:c r="J3" s="15"/>
      <x:c r="K3" s="15"/>
      <x:c r="L3" s="15"/>
      <x:c r="M3" s="15"/>
      <x:c r="N3" s="15"/>
      <x:c r="O3" s="15"/>
      <x:c r="P3" s="15"/>
      <x:c r="Q3" s="15"/>
      <x:c r="R3" s="15"/>
      <x:c r="S3" s="15"/>
      <x:c r="T3" s="15"/>
      <x:c r="U3" s="15"/>
      <x:c r="V3" s="15"/>
      <x:c r="W3" s="15"/>
    </x:row>
    <x:row r="4" ht="22" customHeight="1">
      <x:c r="A4" s="6"/>
      <x:c r="B4" s="6"/>
      <x:c r="C4" s="6"/>
      <x:c r="D4" s="6"/>
      <x:c r="E4" s="6"/>
      <x:c r="F4" s="6"/>
      <x:c r="G4" s="6"/>
      <x:c r="H4" s="6"/>
      <x:c r="I4" s="6"/>
      <x:c r="J4" s="6"/>
      <x:c r="K4" s="6"/>
      <x:c r="L4" s="6"/>
      <x:c r="M4" s="6"/>
      <x:c r="N4" s="6"/>
      <x:c r="O4" s="6"/>
      <x:c r="P4" s="6"/>
      <x:c r="Q4" s="6"/>
      <x:c r="R4" s="6"/>
      <x:c r="S4" s="6"/>
      <x:c r="T4" s="6"/>
      <x:c r="U4" s="6"/>
      <x:c r="V4" s="6"/>
      <x:c r="W4" s="6"/>
    </x:row>
    <x:row r="5" ht="35" customHeight="1">
      <x:c r="A5" s="20" t="str">
        <x:v>MONTH</x:v>
      </x:c>
      <x:c r="B5" s="20" t="str">
        <x:v>NEW INSTALLS</x:v>
      </x:c>
      <x:c r="C5" s="20" t="str">
        <x:v>CUM. INSTALLS</x:v>
      </x:c>
      <x:c r="D5" s="20" t="str">
        <x:v>MAU</x:v>
      </x:c>
      <x:c r="E5" s="20" t="str">
        <x:v>DAU</x:v>
      </x:c>
      <x:c r="F5" s="20" t="str">
        <x:v>CREATOR ORDERS</x:v>
      </x:c>
      <x:c r="G5" s="20" t="str">
        <x:v>COSMETIC BUYERS</x:v>
      </x:c>
      <x:c r="H5" s="20" t="str">
        <x:v>GROSS IAP</x:v>
      </x:c>
      <x:c r="I5" s="20" t="str">
        <x:v>SALES TAX</x:v>
      </x:c>
      <x:c r="J5" s="20" t="str">
        <x:v>REFUNDS</x:v>
      </x:c>
      <x:c r="K5" s="20" t="str">
        <x:v>PLAY FEES</x:v>
      </x:c>
      <x:c r="L5" s="20" t="str">
        <x:v>NET IAP</x:v>
      </x:c>
      <x:c r="M5" s="20" t="str">
        <x:v>NET ADS</x:v>
      </x:c>
      <x:c r="N5" s="20" t="str">
        <x:v>NET REVENUE</x:v>
      </x:c>
      <x:c r="O5" s="20" t="str">
        <x:v>CLOUD / TOOLS</x:v>
      </x:c>
      <x:c r="P5" s="20" t="str">
        <x:v>CASH SUPPORT</x:v>
      </x:c>
      <x:c r="Q5" s="20" t="str">
        <x:v>MARKETING</x:v>
      </x:c>
      <x:c r="R5" s="20" t="str">
        <x:v>CASH OPEX</x:v>
      </x:c>
      <x:c r="S5" s="20" t="str">
        <x:v>OP. CONTRIBUTION</x:v>
      </x:c>
      <x:c r="T5" s="20" t="str">
        <x:v>CASH RECEIPTS</x:v>
      </x:c>
      <x:c r="U5" s="20" t="str">
        <x:v>CUM. CASH</x:v>
      </x:c>
      <x:c r="V5" s="20" t="str">
        <x:v>FOUNDER OPS VALUE</x:v>
      </x:c>
      <x:c r="W5" s="20" t="str">
        <x:v>CUM. ECONOMIC RESULT</x:v>
      </x:c>
    </x:row>
    <x:row r="6" ht="22" customHeight="1">
      <x:c r="A6" s="46" t="n">
        <x:f>1</x:f>
        <x:v>1</x:v>
      </x:c>
      <x:c r="B6" s="6" t="n">
        <x:f>'Assumptions'!$D$6</x:f>
        <x:v>20000</x:v>
      </x:c>
      <x:c r="C6" s="6" t="n">
        <x:f>SUM(B$6:B6)</x:f>
        <x:v>20000</x:v>
      </x:c>
      <x:c r="D6" s="6" t="n">
        <x:f>B6*'Retention'!D6</x:f>
        <x:v>19000</x:v>
      </x:c>
      <x:c r="E6" s="6" t="n">
        <x:f>D6*'Assumptions'!$D$15</x:f>
        <x:v>4750</x:v>
      </x:c>
      <x:c r="F6" s="6" t="n">
        <x:f>IF(A6&gt;'Assumptions'!$D$30,INDEX(B$6:B$29,A6-'Assumptions'!$D$30),0)*'Assumptions'!$D$8</x:f>
        <x:v>0</x:v>
      </x:c>
      <x:c r="G6" s="6" t="n">
        <x:f>IF(A6&gt;'Assumptions'!$D$30,INDEX(B$6:B$29,A6-'Assumptions'!$D$30),0)*'Assumptions'!$D$10</x:f>
        <x:v>0</x:v>
      </x:c>
      <x:c r="H6" s="6" t="n">
        <x:f>F6*'Assumptions'!$D$9+G6*'Assumptions'!$D$11</x:f>
        <x:v>0</x:v>
      </x:c>
      <x:c r="I6" s="6" t="n">
        <x:f>H6-H6/(1+'Assumptions'!$D$12)</x:f>
        <x:v>0</x:v>
      </x:c>
      <x:c r="J6" s="6" t="n">
        <x:f>(H6-I6)*'Assumptions'!$D$13</x:f>
        <x:v>0</x:v>
      </x:c>
      <x:c r="K6" s="6" t="n">
        <x:f>(H6-I6-J6)*'Assumptions'!$D$14</x:f>
        <x:v>0</x:v>
      </x:c>
      <x:c r="L6" s="6" t="n">
        <x:f>H6-SUM(I6:K6)</x:f>
        <x:v>0</x:v>
      </x:c>
      <x:c r="M6" s="6" t="n">
        <x:f>E6*'Assumptions'!$D$19*'Assumptions'!$D$17*'Assumptions'!$D$18/1000*'Assumptions'!$D$16</x:f>
        <x:v>0</x:v>
      </x:c>
      <x:c r="N6" s="6" t="n">
        <x:f>SUM(L6:M6)</x:f>
        <x:v>0</x:v>
      </x:c>
      <x:c r="O6" s="6" t="n">
        <x:f>'Assumptions'!$D$20+D6/1000*'Assumptions'!$D$21</x:f>
        <x:v>326</x:v>
      </x:c>
      <x:c r="P6" s="6" t="n">
        <x:f>'Assumptions'!$D$22</x:f>
        <x:v>400</x:v>
      </x:c>
      <x:c r="Q6" s="6" t="n">
        <x:f>'Assumptions'!$D$23</x:f>
        <x:v>0</x:v>
      </x:c>
      <x:c r="R6" s="6" t="n">
        <x:f>SUM(O6:Q6)</x:f>
        <x:v>726</x:v>
      </x:c>
      <x:c r="S6" s="6" t="n">
        <x:f>N6-R6</x:f>
        <x:v>-726</x:v>
      </x:c>
      <x:c r="T6" s="6" t="n">
        <x:f>IF(A6&gt;'Assumptions'!$D$31,INDEX(N$6:N$29,A6-'Assumptions'!$D$31),0)</x:f>
        <x:v>0</x:v>
      </x:c>
      <x:c r="U6" s="6" t="n">
        <x:f>'Assumptions'!$D$29-'Assumptions'!$D$27-'Assumptions'!$D$28+SUM(T$6:T6)-SUM(R$6:R6)</x:f>
        <x:v>-3756</x:v>
      </x:c>
      <x:c r="V6" s="6" t="n">
        <x:f>'Assumptions'!$D$24*'Assumptions'!$D$25</x:f>
        <x:v>2400</x:v>
      </x:c>
      <x:c r="W6" s="6" t="n">
        <x:f>SUM(S$6:S6)-SUM(V$6:V6)-'Assumptions'!$D$27-'Assumptions'!$D$28-'Assumptions'!$D$26*'Assumptions'!$D$25</x:f>
        <x:v>-46156</x:v>
      </x:c>
    </x:row>
    <x:row r="7" ht="22" customHeight="1">
      <x:c r="A7" s="46" t="n">
        <x:f>2</x:f>
        <x:v>2</x:v>
      </x:c>
      <x:c r="B7" s="6" t="n">
        <x:f>B6*(1+'Assumptions'!$D$7)</x:f>
        <x:v>21600</x:v>
      </x:c>
      <x:c r="C7" s="6" t="n">
        <x:f>SUM(B$6:B7)</x:f>
        <x:v>41600</x:v>
      </x:c>
      <x:c r="D7" s="6" t="n">
        <x:f>B7*'Retention'!D6+B6*'Retention'!D7</x:f>
        <x:v>28520</x:v>
      </x:c>
      <x:c r="E7" s="6" t="n">
        <x:f>D7*'Assumptions'!$D$15</x:f>
        <x:v>7130</x:v>
      </x:c>
      <x:c r="F7" s="6" t="n">
        <x:f>IF(A7&gt;'Assumptions'!$D$30,INDEX(B$6:B$29,A7-'Assumptions'!$D$30),0)*'Assumptions'!$D$8</x:f>
        <x:v>600</x:v>
      </x:c>
      <x:c r="G7" s="6" t="n">
        <x:f>IF(A7&gt;'Assumptions'!$D$30,INDEX(B$6:B$29,A7-'Assumptions'!$D$30),0)*'Assumptions'!$D$10</x:f>
        <x:v>800</x:v>
      </x:c>
      <x:c r="H7" s="6" t="n">
        <x:f>F7*'Assumptions'!$D$9+G7*'Assumptions'!$D$11</x:f>
        <x:v>10586</x:v>
      </x:c>
      <x:c r="I7" s="6" t="n">
        <x:f>H7-H7/(1+'Assumptions'!$D$12)</x:f>
        <x:v>1764.3333333333321</x:v>
      </x:c>
      <x:c r="J7" s="6" t="n">
        <x:f>(H7-I7)*'Assumptions'!$D$13</x:f>
        <x:v>264.65000000000003</x:v>
      </x:c>
      <x:c r="K7" s="6" t="n">
        <x:f>(H7-I7-J7)*'Assumptions'!$D$14</x:f>
        <x:v>1283.5525000000002</x:v>
      </x:c>
      <x:c r="L7" s="6" t="n">
        <x:f>H7-SUM(I7:K7)</x:f>
        <x:v>7273.464166666668</x:v>
      </x:c>
      <x:c r="M7" s="6" t="n">
        <x:f>E7*'Assumptions'!$D$19*'Assumptions'!$D$17*'Assumptions'!$D$18/1000*'Assumptions'!$D$16</x:f>
        <x:v>0</x:v>
      </x:c>
      <x:c r="N7" s="6" t="n">
        <x:f>SUM(L7:M7)</x:f>
        <x:v>7273.464166666668</x:v>
      </x:c>
      <x:c r="O7" s="6" t="n">
        <x:f>'Assumptions'!$D$20+D7/1000*'Assumptions'!$D$21</x:f>
        <x:v>364.08</x:v>
      </x:c>
      <x:c r="P7" s="6" t="n">
        <x:f>'Assumptions'!$D$22</x:f>
        <x:v>400</x:v>
      </x:c>
      <x:c r="Q7" s="6" t="n">
        <x:f>'Assumptions'!$D$23</x:f>
        <x:v>0</x:v>
      </x:c>
      <x:c r="R7" s="6" t="n">
        <x:f>SUM(O7:Q7)</x:f>
        <x:v>764.0799999999999</x:v>
      </x:c>
      <x:c r="S7" s="6" t="n">
        <x:f>N7-R7</x:f>
        <x:v>6509.384166666668</x:v>
      </x:c>
      <x:c r="T7" s="6" t="n">
        <x:f>IF(A7&gt;'Assumptions'!$D$31,INDEX(N$6:N$29,A7-'Assumptions'!$D$31),0)</x:f>
        <x:v>0</x:v>
      </x:c>
      <x:c r="U7" s="6" t="n">
        <x:f>'Assumptions'!$D$29-'Assumptions'!$D$27-'Assumptions'!$D$28+SUM(T$6:T7)-SUM(R$6:R7)</x:f>
        <x:v>-4520.08</x:v>
      </x:c>
      <x:c r="V7" s="6" t="n">
        <x:f>'Assumptions'!$D$24*'Assumptions'!$D$25</x:f>
        <x:v>2400</x:v>
      </x:c>
      <x:c r="W7" s="6" t="n">
        <x:f>SUM(S$6:S7)-SUM(V$6:V7)-'Assumptions'!$D$27-'Assumptions'!$D$28-'Assumptions'!$D$26*'Assumptions'!$D$25</x:f>
        <x:v>-42046.61583333333</x:v>
      </x:c>
    </x:row>
    <x:row r="8" ht="22" customHeight="1">
      <x:c r="A8" s="46" t="n">
        <x:f>3</x:f>
        <x:v>3</x:v>
      </x:c>
      <x:c r="B8" s="6" t="n">
        <x:f>B7*(1+'Assumptions'!$D$7)</x:f>
        <x:v>23328</x:v>
      </x:c>
      <x:c r="C8" s="6" t="n">
        <x:f>SUM(B$6:B8)</x:f>
        <x:v>64928</x:v>
      </x:c>
      <x:c r="D8" s="6" t="n">
        <x:f>B8*'Retention'!D6+B7*'Retention'!D7+B6*'Retention'!D8</x:f>
        <x:v>36801.6</x:v>
      </x:c>
      <x:c r="E8" s="6" t="n">
        <x:f>D8*'Assumptions'!$D$15</x:f>
        <x:v>9200.4</x:v>
      </x:c>
      <x:c r="F8" s="6" t="n">
        <x:f>IF(A8&gt;'Assumptions'!$D$30,INDEX(B$6:B$29,A8-'Assumptions'!$D$30),0)*'Assumptions'!$D$8</x:f>
        <x:v>648</x:v>
      </x:c>
      <x:c r="G8" s="6" t="n">
        <x:f>IF(A8&gt;'Assumptions'!$D$30,INDEX(B$6:B$29,A8-'Assumptions'!$D$30),0)*'Assumptions'!$D$10</x:f>
        <x:v>864</x:v>
      </x:c>
      <x:c r="H8" s="6" t="n">
        <x:f>F8*'Assumptions'!$D$9+G8*'Assumptions'!$D$11</x:f>
        <x:v>11432.880000000001</x:v>
      </x:c>
      <x:c r="I8" s="6" t="n">
        <x:f>H8-H8/(1+'Assumptions'!$D$12)</x:f>
        <x:v>1905.4799999999996</x:v>
      </x:c>
      <x:c r="J8" s="6" t="n">
        <x:f>(H8-I8)*'Assumptions'!$D$13</x:f>
        <x:v>285.82200000000006</x:v>
      </x:c>
      <x:c r="K8" s="6" t="n">
        <x:f>(H8-I8-J8)*'Assumptions'!$D$14</x:f>
        <x:v>1386.2367000000002</x:v>
      </x:c>
      <x:c r="L8" s="6" t="n">
        <x:f>H8-SUM(I8:K8)</x:f>
        <x:v>7855.341300000001</x:v>
      </x:c>
      <x:c r="M8" s="6" t="n">
        <x:f>E8*'Assumptions'!$D$19*'Assumptions'!$D$17*'Assumptions'!$D$18/1000*'Assumptions'!$D$16</x:f>
        <x:v>0</x:v>
      </x:c>
      <x:c r="N8" s="6" t="n">
        <x:f>SUM(L8:M8)</x:f>
        <x:v>7855.341300000001</x:v>
      </x:c>
      <x:c r="O8" s="6" t="n">
        <x:f>'Assumptions'!$D$20+D8/1000*'Assumptions'!$D$21</x:f>
        <x:v>397.20640000000003</x:v>
      </x:c>
      <x:c r="P8" s="6" t="n">
        <x:f>'Assumptions'!$D$22</x:f>
        <x:v>400</x:v>
      </x:c>
      <x:c r="Q8" s="6" t="n">
        <x:f>'Assumptions'!$D$23</x:f>
        <x:v>0</x:v>
      </x:c>
      <x:c r="R8" s="6" t="n">
        <x:f>SUM(O8:Q8)</x:f>
        <x:v>797.2064</x:v>
      </x:c>
      <x:c r="S8" s="6" t="n">
        <x:f>N8-R8</x:f>
        <x:v>7058.134900000001</x:v>
      </x:c>
      <x:c r="T8" s="6" t="n">
        <x:f>IF(A8&gt;'Assumptions'!$D$31,INDEX(N$6:N$29,A8-'Assumptions'!$D$31),0)</x:f>
        <x:v>7273.464166666668</x:v>
      </x:c>
      <x:c r="U8" s="6" t="n">
        <x:f>'Assumptions'!$D$29-'Assumptions'!$D$27-'Assumptions'!$D$28+SUM(T$6:T8)-SUM(R$6:R8)</x:f>
        <x:v>1956.1777666666676</x:v>
      </x:c>
      <x:c r="V8" s="6" t="n">
        <x:f>'Assumptions'!$D$24*'Assumptions'!$D$25</x:f>
        <x:v>2400</x:v>
      </x:c>
      <x:c r="W8" s="6" t="n">
        <x:f>SUM(S$6:S8)-SUM(V$6:V8)-'Assumptions'!$D$27-'Assumptions'!$D$28-'Assumptions'!$D$26*'Assumptions'!$D$25</x:f>
        <x:v>-37388.48093333333</x:v>
      </x:c>
    </x:row>
    <x:row r="9" ht="22" customHeight="1">
      <x:c r="A9" s="46" t="n">
        <x:f>4</x:f>
        <x:v>4</x:v>
      </x:c>
      <x:c r="B9" s="6" t="n">
        <x:f>B8*(1+'Assumptions'!$D$7)</x:f>
        <x:v>25194.24</x:v>
      </x:c>
      <x:c r="C9" s="6" t="n">
        <x:f>SUM(B$6:B9)</x:f>
        <x:v>90122.24</x:v>
      </x:c>
      <x:c r="D9" s="6" t="n">
        <x:f>B9*'Retention'!D6+B8*'Retention'!D7+B7*'Retention'!D8+B6*'Retention'!D9</x:f>
        <x:v>44145.728</x:v>
      </x:c>
      <x:c r="E9" s="6" t="n">
        <x:f>D9*'Assumptions'!$D$15</x:f>
        <x:v>11036.432</x:v>
      </x:c>
      <x:c r="F9" s="6" t="n">
        <x:f>IF(A9&gt;'Assumptions'!$D$30,INDEX(B$6:B$29,A9-'Assumptions'!$D$30),0)*'Assumptions'!$D$8</x:f>
        <x:v>699.8399999999999</x:v>
      </x:c>
      <x:c r="G9" s="6" t="n">
        <x:f>IF(A9&gt;'Assumptions'!$D$30,INDEX(B$6:B$29,A9-'Assumptions'!$D$30),0)*'Assumptions'!$D$10</x:f>
        <x:v>933.12</x:v>
      </x:c>
      <x:c r="H9" s="6" t="n">
        <x:f>F9*'Assumptions'!$D$9+G9*'Assumptions'!$D$11</x:f>
        <x:v>12347.5104</x:v>
      </x:c>
      <x:c r="I9" s="6" t="n">
        <x:f>H9-H9/(1+'Assumptions'!$D$12)</x:f>
        <x:v>2057.9183999999987</x:v>
      </x:c>
      <x:c r="J9" s="6" t="n">
        <x:f>(H9-I9)*'Assumptions'!$D$13</x:f>
        <x:v>308.68776</x:v>
      </x:c>
      <x:c r="K9" s="6" t="n">
        <x:f>(H9-I9-J9)*'Assumptions'!$D$14</x:f>
        <x:v>1497.135636</x:v>
      </x:c>
      <x:c r="L9" s="6" t="n">
        <x:f>H9-SUM(I9:K9)</x:f>
        <x:v>8483.768604</x:v>
      </x:c>
      <x:c r="M9" s="6" t="n">
        <x:f>E9*'Assumptions'!$D$19*'Assumptions'!$D$17*'Assumptions'!$D$18/1000*'Assumptions'!$D$16</x:f>
        <x:v>0</x:v>
      </x:c>
      <x:c r="N9" s="6" t="n">
        <x:f>SUM(L9:M9)</x:f>
        <x:v>8483.768604</x:v>
      </x:c>
      <x:c r="O9" s="6" t="n">
        <x:f>'Assumptions'!$D$20+D9/1000*'Assumptions'!$D$21</x:f>
        <x:v>426.582912</x:v>
      </x:c>
      <x:c r="P9" s="6" t="n">
        <x:f>'Assumptions'!$D$22</x:f>
        <x:v>400</x:v>
      </x:c>
      <x:c r="Q9" s="6" t="n">
        <x:f>'Assumptions'!$D$23</x:f>
        <x:v>0</x:v>
      </x:c>
      <x:c r="R9" s="6" t="n">
        <x:f>SUM(O9:Q9)</x:f>
        <x:v>826.5829120000001</x:v>
      </x:c>
      <x:c r="S9" s="6" t="n">
        <x:f>N9-R9</x:f>
        <x:v>7657.185692000001</x:v>
      </x:c>
      <x:c r="T9" s="6" t="n">
        <x:f>IF(A9&gt;'Assumptions'!$D$31,INDEX(N$6:N$29,A9-'Assumptions'!$D$31),0)</x:f>
        <x:v>7855.341300000001</x:v>
      </x:c>
      <x:c r="U9" s="6" t="n">
        <x:f>'Assumptions'!$D$29-'Assumptions'!$D$27-'Assumptions'!$D$28+SUM(T$6:T9)-SUM(R$6:R9)</x:f>
        <x:v>8984.93615466667</x:v>
      </x:c>
      <x:c r="V9" s="6" t="n">
        <x:f>'Assumptions'!$D$24*'Assumptions'!$D$25</x:f>
        <x:v>2400</x:v>
      </x:c>
      <x:c r="W9" s="6" t="n">
        <x:f>SUM(S$6:S9)-SUM(V$6:V9)-'Assumptions'!$D$27-'Assumptions'!$D$28-'Assumptions'!$D$26*'Assumptions'!$D$25</x:f>
        <x:v>-32131.295241333333</x:v>
      </x:c>
    </x:row>
    <x:row r="10" ht="22" customHeight="1">
      <x:c r="A10" s="46" t="n">
        <x:f>5</x:f>
        <x:v>5</x:v>
      </x:c>
      <x:c r="B10" s="6" t="n">
        <x:f>B9*(1+'Assumptions'!$D$7)</x:f>
        <x:v>27209.779200000004</x:v>
      </x:c>
      <x:c r="C10" s="6" t="n">
        <x:f>SUM(B$6:B10)</x:f>
        <x:v>117332.01920000001</x:v>
      </x:c>
      <x:c r="D10" s="6" t="n">
        <x:f>B10*'Retention'!D6+B9*'Retention'!D7+B8*'Retention'!D8+B7*'Retention'!D9+B6*'Retention'!D10</x:f>
        <x:v>51945.38624000001</x:v>
      </x:c>
      <x:c r="E10" s="6" t="n">
        <x:f>D10*'Assumptions'!$D$15</x:f>
        <x:v>12986.346560000002</x:v>
      </x:c>
      <x:c r="F10" s="6" t="n">
        <x:f>IF(A10&gt;'Assumptions'!$D$30,INDEX(B$6:B$29,A10-'Assumptions'!$D$30),0)*'Assumptions'!$D$8</x:f>
        <x:v>755.8272000000001</x:v>
      </x:c>
      <x:c r="G10" s="6" t="n">
        <x:f>IF(A10&gt;'Assumptions'!$D$30,INDEX(B$6:B$29,A10-'Assumptions'!$D$30),0)*'Assumptions'!$D$10</x:f>
        <x:v>1007.7696000000001</x:v>
      </x:c>
      <x:c r="H10" s="6" t="n">
        <x:f>F10*'Assumptions'!$D$9+G10*'Assumptions'!$D$11</x:f>
        <x:v>13335.311232000002</x:v>
      </x:c>
      <x:c r="I10" s="6" t="n">
        <x:f>H10-H10/(1+'Assumptions'!$D$12)</x:f>
        <x:v>2222.551872</x:v>
      </x:c>
      <x:c r="J10" s="6" t="n">
        <x:f>(H10-I10)*'Assumptions'!$D$13</x:f>
        <x:v>333.38278080000003</x:v>
      </x:c>
      <x:c r="K10" s="6" t="n">
        <x:f>(H10-I10-J10)*'Assumptions'!$D$14</x:f>
        <x:v>1616.90648688</x:v>
      </x:c>
      <x:c r="L10" s="6" t="n">
        <x:f>H10-SUM(I10:K10)</x:f>
        <x:v>9162.470092320002</x:v>
      </x:c>
      <x:c r="M10" s="6" t="n">
        <x:f>E10*'Assumptions'!$D$19*'Assumptions'!$D$17*'Assumptions'!$D$18/1000*'Assumptions'!$D$16</x:f>
        <x:v>0</x:v>
      </x:c>
      <x:c r="N10" s="6" t="n">
        <x:f>SUM(L10:M10)</x:f>
        <x:v>9162.470092320002</x:v>
      </x:c>
      <x:c r="O10" s="6" t="n">
        <x:f>'Assumptions'!$D$20+D10/1000*'Assumptions'!$D$21</x:f>
        <x:v>457.78154496</x:v>
      </x:c>
      <x:c r="P10" s="6" t="n">
        <x:f>'Assumptions'!$D$22</x:f>
        <x:v>400</x:v>
      </x:c>
      <x:c r="Q10" s="6" t="n">
        <x:f>'Assumptions'!$D$23</x:f>
        <x:v>0</x:v>
      </x:c>
      <x:c r="R10" s="6" t="n">
        <x:f>SUM(O10:Q10)</x:f>
        <x:v>857.78154496</x:v>
      </x:c>
      <x:c r="S10" s="6" t="n">
        <x:f>N10-R10</x:f>
        <x:v>8304.688547360001</x:v>
      </x:c>
      <x:c r="T10" s="6" t="n">
        <x:f>IF(A10&gt;'Assumptions'!$D$31,INDEX(N$6:N$29,A10-'Assumptions'!$D$31),0)</x:f>
        <x:v>8483.768604</x:v>
      </x:c>
      <x:c r="U10" s="6" t="n">
        <x:f>'Assumptions'!$D$29-'Assumptions'!$D$27-'Assumptions'!$D$28+SUM(T$6:T10)-SUM(R$6:R10)</x:f>
        <x:v>16610.92321370667</x:v>
      </x:c>
      <x:c r="V10" s="6" t="n">
        <x:f>'Assumptions'!$D$24*'Assumptions'!$D$25</x:f>
        <x:v>2400</x:v>
      </x:c>
      <x:c r="W10" s="6" t="n">
        <x:f>SUM(S$6:S10)-SUM(V$6:V10)-'Assumptions'!$D$27-'Assumptions'!$D$28-'Assumptions'!$D$26*'Assumptions'!$D$25</x:f>
        <x:v>-26226.606693973332</x:v>
      </x:c>
    </x:row>
    <x:row r="11" ht="22" customHeight="1">
      <x:c r="A11" s="46" t="n">
        <x:f>6</x:f>
        <x:v>6</x:v>
      </x:c>
      <x:c r="B11" s="6" t="n">
        <x:f>B10*(1+'Assumptions'!$D$7)</x:f>
        <x:v>29386.56153600001</x:v>
      </x:c>
      <x:c r="C11" s="6" t="n">
        <x:f>SUM(B$6:B11)</x:f>
        <x:v>146718.58073600003</x:v>
      </x:c>
      <x:c r="D11" s="6" t="n">
        <x:f>B11*'Retention'!D6+B10*'Retention'!D7+B9*'Retention'!D8+B8*'Retention'!D9+B7*'Retention'!D10+B6*'Retention'!D11</x:f>
        <x:v>60240.977139200004</x:v>
      </x:c>
      <x:c r="E11" s="6" t="n">
        <x:f>D11*'Assumptions'!$D$15</x:f>
        <x:v>15060.244284800001</x:v>
      </x:c>
      <x:c r="F11" s="6" t="n">
        <x:f>IF(A11&gt;'Assumptions'!$D$30,INDEX(B$6:B$29,A11-'Assumptions'!$D$30),0)*'Assumptions'!$D$8</x:f>
        <x:v>816.2933760000001</x:v>
      </x:c>
      <x:c r="G11" s="6" t="n">
        <x:f>IF(A11&gt;'Assumptions'!$D$30,INDEX(B$6:B$29,A11-'Assumptions'!$D$30),0)*'Assumptions'!$D$10</x:f>
        <x:v>1088.391168</x:v>
      </x:c>
      <x:c r="H11" s="6" t="n">
        <x:f>F11*'Assumptions'!$D$9+G11*'Assumptions'!$D$11</x:f>
        <x:v>14402.136130560002</x:v>
      </x:c>
      <x:c r="I11" s="6" t="n">
        <x:f>H11-H11/(1+'Assumptions'!$D$12)</x:f>
        <x:v>2400.3560217600007</x:v>
      </x:c>
      <x:c r="J11" s="6" t="n">
        <x:f>(H11-I11)*'Assumptions'!$D$13</x:f>
        <x:v>360.05340326400005</x:v>
      </x:c>
      <x:c r="K11" s="6" t="n">
        <x:f>(H11-I11-J11)*'Assumptions'!$D$14</x:f>
        <x:v>1746.2590058304002</x:v>
      </x:c>
      <x:c r="L11" s="6" t="n">
        <x:f>H11-SUM(I11:K11)</x:f>
        <x:v>9895.467699705601</x:v>
      </x:c>
      <x:c r="M11" s="6" t="n">
        <x:f>E11*'Assumptions'!$D$19*'Assumptions'!$D$17*'Assumptions'!$D$18/1000*'Assumptions'!$D$16</x:f>
        <x:v>0</x:v>
      </x:c>
      <x:c r="N11" s="6" t="n">
        <x:f>SUM(L11:M11)</x:f>
        <x:v>9895.467699705601</x:v>
      </x:c>
      <x:c r="O11" s="6" t="n">
        <x:f>'Assumptions'!$D$20+D11/1000*'Assumptions'!$D$21</x:f>
        <x:v>490.9639085568</x:v>
      </x:c>
      <x:c r="P11" s="6" t="n">
        <x:f>'Assumptions'!$D$22</x:f>
        <x:v>400</x:v>
      </x:c>
      <x:c r="Q11" s="6" t="n">
        <x:f>'Assumptions'!$D$23</x:f>
        <x:v>0</x:v>
      </x:c>
      <x:c r="R11" s="6" t="n">
        <x:f>SUM(O11:Q11)</x:f>
        <x:v>890.9639085568</x:v>
      </x:c>
      <x:c r="S11" s="6" t="n">
        <x:f>N11-R11</x:f>
        <x:v>9004.503791148802</x:v>
      </x:c>
      <x:c r="T11" s="6" t="n">
        <x:f>IF(A11&gt;'Assumptions'!$D$31,INDEX(N$6:N$29,A11-'Assumptions'!$D$31),0)</x:f>
        <x:v>9162.470092320002</x:v>
      </x:c>
      <x:c r="U11" s="6" t="n">
        <x:f>'Assumptions'!$D$29-'Assumptions'!$D$27-'Assumptions'!$D$28+SUM(T$6:T11)-SUM(R$6:R11)</x:f>
        <x:v>24882.42939746987</x:v>
      </x:c>
      <x:c r="V11" s="6" t="n">
        <x:f>'Assumptions'!$D$24*'Assumptions'!$D$25</x:f>
        <x:v>2400</x:v>
      </x:c>
      <x:c r="W11" s="6" t="n">
        <x:f>SUM(S$6:S11)-SUM(V$6:V11)-'Assumptions'!$D$27-'Assumptions'!$D$28-'Assumptions'!$D$26*'Assumptions'!$D$25</x:f>
        <x:v>-19622.102902824532</x:v>
      </x:c>
    </x:row>
    <x:row r="12" ht="22" customHeight="1">
      <x:c r="A12" s="46" t="n">
        <x:f>7</x:f>
        <x:v>7</x:v>
      </x:c>
      <x:c r="B12" s="6" t="n">
        <x:f>B11*(1+'Assumptions'!$D$7)</x:f>
        <x:v>31737.486458880012</x:v>
      </x:c>
      <x:c r="C12" s="6" t="n">
        <x:f>SUM(B$6:B12)</x:f>
        <x:v>178456.06719488004</x:v>
      </x:c>
      <x:c r="D12" s="6" t="n">
        <x:f>B12*'Retention'!D6+B11*'Retention'!D7+B10*'Retention'!D8+B9*'Retention'!D9+B8*'Retention'!D10+B7*'Retention'!D11+B6*'Retention'!D12</x:f>
        <x:v>69076.016510336</x:v>
      </x:c>
      <x:c r="E12" s="6" t="n">
        <x:f>D12*'Assumptions'!$D$15</x:f>
        <x:v>17269.004127584</x:v>
      </x:c>
      <x:c r="F12" s="6" t="n">
        <x:f>IF(A12&gt;'Assumptions'!$D$30,INDEX(B$6:B$29,A12-'Assumptions'!$D$30),0)*'Assumptions'!$D$8</x:f>
        <x:v>881.5968460800002</x:v>
      </x:c>
      <x:c r="G12" s="6" t="n">
        <x:f>IF(A12&gt;'Assumptions'!$D$30,INDEX(B$6:B$29,A12-'Assumptions'!$D$30),0)*'Assumptions'!$D$10</x:f>
        <x:v>1175.4624614400004</x:v>
      </x:c>
      <x:c r="H12" s="6" t="n">
        <x:f>F12*'Assumptions'!$D$9+G12*'Assumptions'!$D$11</x:f>
        <x:v>15554.307021004806</x:v>
      </x:c>
      <x:c r="I12" s="6" t="n">
        <x:f>H12-H12/(1+'Assumptions'!$D$12)</x:f>
        <x:v>2592.3845035008</x:v>
      </x:c>
      <x:c r="J12" s="6" t="n">
        <x:f>(H12-I12)*'Assumptions'!$D$13</x:f>
        <x:v>388.85767552512016</x:v>
      </x:c>
      <x:c r="K12" s="6" t="n">
        <x:f>(H12-I12-J12)*'Assumptions'!$D$14</x:f>
        <x:v>1885.959726296833</x:v>
      </x:c>
      <x:c r="L12" s="6" t="n">
        <x:f>H12-SUM(I12:K12)</x:f>
        <x:v>10687.105115682054</x:v>
      </x:c>
      <x:c r="M12" s="6" t="n">
        <x:f>E12*'Assumptions'!$D$19*'Assumptions'!$D$17*'Assumptions'!$D$18/1000*'Assumptions'!$D$16</x:f>
        <x:v>0</x:v>
      </x:c>
      <x:c r="N12" s="6" t="n">
        <x:f>SUM(L12:M12)</x:f>
        <x:v>10687.105115682054</x:v>
      </x:c>
      <x:c r="O12" s="6" t="n">
        <x:f>'Assumptions'!$D$20+D12/1000*'Assumptions'!$D$21</x:f>
        <x:v>526.304066041344</x:v>
      </x:c>
      <x:c r="P12" s="6" t="n">
        <x:f>'Assumptions'!$D$22</x:f>
        <x:v>400</x:v>
      </x:c>
      <x:c r="Q12" s="6" t="n">
        <x:f>'Assumptions'!$D$23</x:f>
        <x:v>0</x:v>
      </x:c>
      <x:c r="R12" s="6" t="n">
        <x:f>SUM(O12:Q12)</x:f>
        <x:v>926.304066041344</x:v>
      </x:c>
      <x:c r="S12" s="6" t="n">
        <x:f>N12-R12</x:f>
        <x:v>9760.80104964071</x:v>
      </x:c>
      <x:c r="T12" s="6" t="n">
        <x:f>IF(A12&gt;'Assumptions'!$D$31,INDEX(N$6:N$29,A12-'Assumptions'!$D$31),0)</x:f>
        <x:v>9895.467699705601</x:v>
      </x:c>
      <x:c r="U12" s="6" t="n">
        <x:f>'Assumptions'!$D$29-'Assumptions'!$D$27-'Assumptions'!$D$28+SUM(T$6:T12)-SUM(R$6:R12)</x:f>
        <x:v>33851.59303113413</x:v>
      </x:c>
      <x:c r="V12" s="6" t="n">
        <x:f>'Assumptions'!$D$24*'Assumptions'!$D$25</x:f>
        <x:v>2400</x:v>
      </x:c>
      <x:c r="W12" s="6" t="n">
        <x:f>SUM(S$6:S12)-SUM(V$6:V12)-'Assumptions'!$D$27-'Assumptions'!$D$28-'Assumptions'!$D$26*'Assumptions'!$D$25</x:f>
        <x:v>-12261.301853183824</x:v>
      </x:c>
    </x:row>
    <x:row r="13" ht="22" customHeight="1">
      <x:c r="A13" s="46" t="n">
        <x:f>8</x:f>
        <x:v>8</x:v>
      </x:c>
      <x:c r="B13" s="6" t="n">
        <x:f>B12*(1+'Assumptions'!$D$7)</x:f>
        <x:v>34276.48537559042</x:v>
      </x:c>
      <x:c r="C13" s="6" t="n">
        <x:f>SUM(B$6:B13)</x:f>
        <x:v>212732.55257047046</x:v>
      </x:c>
      <x:c r="D13" s="6" t="n">
        <x:f>B13*'Retention'!D6+B12*'Retention'!D7+B11*'Retention'!D8+B10*'Retention'!D9+B9*'Retention'!D10+B8*'Retention'!D11+B7*'Retention'!D12+B6*'Retention'!D13</x:f>
        <x:v>78497.38619516291</x:v>
      </x:c>
      <x:c r="E13" s="6" t="n">
        <x:f>D13*'Assumptions'!$D$15</x:f>
        <x:v>19624.346548790727</x:v>
      </x:c>
      <x:c r="F13" s="6" t="n">
        <x:f>IF(A13&gt;'Assumptions'!$D$30,INDEX(B$6:B$29,A13-'Assumptions'!$D$30),0)*'Assumptions'!$D$8</x:f>
        <x:v>952.1245937664003</x:v>
      </x:c>
      <x:c r="G13" s="6" t="n">
        <x:f>IF(A13&gt;'Assumptions'!$D$30,INDEX(B$6:B$29,A13-'Assumptions'!$D$30),0)*'Assumptions'!$D$10</x:f>
        <x:v>1269.4994583552004</x:v>
      </x:c>
      <x:c r="H13" s="6" t="n">
        <x:f>F13*'Assumptions'!$D$9+G13*'Assumptions'!$D$11</x:f>
        <x:v>16798.65158268519</x:v>
      </x:c>
      <x:c r="I13" s="6" t="n">
        <x:f>H13-H13/(1+'Assumptions'!$D$12)</x:f>
        <x:v>2799.7752637808644</x:v>
      </x:c>
      <x:c r="J13" s="6" t="n">
        <x:f>(H13-I13)*'Assumptions'!$D$13</x:f>
        <x:v>419.96628956712976</x:v>
      </x:c>
      <x:c r="K13" s="6" t="n">
        <x:f>(H13-I13-J13)*'Assumptions'!$D$14</x:f>
        <x:v>2036.8365044005793</x:v>
      </x:c>
      <x:c r="L13" s="6" t="n">
        <x:f>H13-SUM(I13:K13)</x:f>
        <x:v>11542.073524936615</x:v>
      </x:c>
      <x:c r="M13" s="6" t="n">
        <x:f>E13*'Assumptions'!$D$19*'Assumptions'!$D$17*'Assumptions'!$D$18/1000*'Assumptions'!$D$16</x:f>
        <x:v>0</x:v>
      </x:c>
      <x:c r="N13" s="6" t="n">
        <x:f>SUM(L13:M13)</x:f>
        <x:v>11542.073524936615</x:v>
      </x:c>
      <x:c r="O13" s="6" t="n">
        <x:f>'Assumptions'!$D$20+D13/1000*'Assumptions'!$D$21</x:f>
        <x:v>563.9895447806516</x:v>
      </x:c>
      <x:c r="P13" s="6" t="n">
        <x:f>'Assumptions'!$D$22</x:f>
        <x:v>400</x:v>
      </x:c>
      <x:c r="Q13" s="6" t="n">
        <x:f>'Assumptions'!$D$23</x:f>
        <x:v>0</x:v>
      </x:c>
      <x:c r="R13" s="6" t="n">
        <x:f>SUM(O13:Q13)</x:f>
        <x:v>963.9895447806516</x:v>
      </x:c>
      <x:c r="S13" s="6" t="n">
        <x:f>N13-R13</x:f>
        <x:v>10578.083980155963</x:v>
      </x:c>
      <x:c r="T13" s="6" t="n">
        <x:f>IF(A13&gt;'Assumptions'!$D$31,INDEX(N$6:N$29,A13-'Assumptions'!$D$31),0)</x:f>
        <x:v>10687.105115682054</x:v>
      </x:c>
      <x:c r="U13" s="6" t="n">
        <x:f>'Assumptions'!$D$29-'Assumptions'!$D$27-'Assumptions'!$D$28+SUM(T$6:T13)-SUM(R$6:R13)</x:f>
        <x:v>43574.70860203553</x:v>
      </x:c>
      <x:c r="V13" s="6" t="n">
        <x:f>'Assumptions'!$D$24*'Assumptions'!$D$25</x:f>
        <x:v>2400</x:v>
      </x:c>
      <x:c r="W13" s="6" t="n">
        <x:f>SUM(S$6:S13)-SUM(V$6:V13)-'Assumptions'!$D$27-'Assumptions'!$D$28-'Assumptions'!$D$26*'Assumptions'!$D$25</x:f>
        <x:v>-4083.217873027861</x:v>
      </x:c>
    </x:row>
    <x:row r="14" ht="22" customHeight="1">
      <x:c r="A14" s="46" t="n">
        <x:f>9</x:f>
        <x:v>9</x:v>
      </x:c>
      <x:c r="B14" s="6" t="n">
        <x:f>B13*(1+'Assumptions'!$D$7)</x:f>
        <x:v>37018.604205637654</x:v>
      </x:c>
      <x:c r="C14" s="6" t="n">
        <x:f>SUM(B$6:B14)</x:f>
        <x:v>249751.1567761081</x:v>
      </x:c>
      <x:c r="D14" s="6" t="n">
        <x:f>B14*'Retention'!D6+B13*'Retention'!D7+B12*'Retention'!D8+B11*'Retention'!D9+B10*'Retention'!D10+B9*'Retention'!D11+B8*'Retention'!D12+B7*'Retention'!D13+B6*'Retention'!D14</x:f>
        <x:v>88555.60680385593</x:v>
      </x:c>
      <x:c r="E14" s="6" t="n">
        <x:f>D14*'Assumptions'!$D$15</x:f>
        <x:v>22138.901700963983</x:v>
      </x:c>
      <x:c r="F14" s="6" t="n">
        <x:f>IF(A14&gt;'Assumptions'!$D$30,INDEX(B$6:B$29,A14-'Assumptions'!$D$30),0)*'Assumptions'!$D$8</x:f>
        <x:v>1028.2945612677124</x:v>
      </x:c>
      <x:c r="G14" s="6" t="n">
        <x:f>IF(A14&gt;'Assumptions'!$D$30,INDEX(B$6:B$29,A14-'Assumptions'!$D$30),0)*'Assumptions'!$D$10</x:f>
        <x:v>1371.0594150236168</x:v>
      </x:c>
      <x:c r="H14" s="6" t="n">
        <x:f>F14*'Assumptions'!$D$9+G14*'Assumptions'!$D$11</x:f>
        <x:v>18142.543709300007</x:v>
      </x:c>
      <x:c r="I14" s="6" t="n">
        <x:f>H14-H14/(1+'Assumptions'!$D$12)</x:f>
        <x:v>3023.7572848833333</x:v>
      </x:c>
      <x:c r="J14" s="6" t="n">
        <x:f>(H14-I14)*'Assumptions'!$D$13</x:f>
        <x:v>453.5635927325002</x:v>
      </x:c>
      <x:c r="K14" s="6" t="n">
        <x:f>(H14-I14-J14)*'Assumptions'!$D$14</x:f>
        <x:v>2199.783424752626</x:v>
      </x:c>
      <x:c r="L14" s="6" t="n">
        <x:f>H14-SUM(I14:K14)</x:f>
        <x:v>12465.439406931548</x:v>
      </x:c>
      <x:c r="M14" s="6" t="n">
        <x:f>E14*'Assumptions'!$D$19*'Assumptions'!$D$17*'Assumptions'!$D$18/1000*'Assumptions'!$D$16</x:f>
        <x:v>0</x:v>
      </x:c>
      <x:c r="N14" s="6" t="n">
        <x:f>SUM(L14:M14)</x:f>
        <x:v>12465.439406931548</x:v>
      </x:c>
      <x:c r="O14" s="6" t="n">
        <x:f>'Assumptions'!$D$20+D14/1000*'Assumptions'!$D$21</x:f>
        <x:v>604.2224272154237</x:v>
      </x:c>
      <x:c r="P14" s="6" t="n">
        <x:f>'Assumptions'!$D$22</x:f>
        <x:v>400</x:v>
      </x:c>
      <x:c r="Q14" s="6" t="n">
        <x:f>'Assumptions'!$D$23</x:f>
        <x:v>0</x:v>
      </x:c>
      <x:c r="R14" s="6" t="n">
        <x:f>SUM(O14:Q14)</x:f>
        <x:v>1004.2224272154237</x:v>
      </x:c>
      <x:c r="S14" s="6" t="n">
        <x:f>N14-R14</x:f>
        <x:v>11461.216979716124</x:v>
      </x:c>
      <x:c r="T14" s="6" t="n">
        <x:f>IF(A14&gt;'Assumptions'!$D$31,INDEX(N$6:N$29,A14-'Assumptions'!$D$31),0)</x:f>
        <x:v>11542.073524936615</x:v>
      </x:c>
      <x:c r="U14" s="6" t="n">
        <x:f>'Assumptions'!$D$29-'Assumptions'!$D$27-'Assumptions'!$D$28+SUM(T$6:T14)-SUM(R$6:R14)</x:f>
        <x:v>54112.55969975672</x:v>
      </x:c>
      <x:c r="V14" s="6" t="n">
        <x:f>'Assumptions'!$D$24*'Assumptions'!$D$25</x:f>
        <x:v>2400</x:v>
      </x:c>
      <x:c r="W14" s="6" t="n">
        <x:f>SUM(S$6:S14)-SUM(V$6:V14)-'Assumptions'!$D$27-'Assumptions'!$D$28-'Assumptions'!$D$26*'Assumptions'!$D$25</x:f>
        <x:v>4977.999106688265</x:v>
      </x:c>
    </x:row>
    <x:row r="15" ht="22" customHeight="1">
      <x:c r="A15" s="46" t="n">
        <x:f>10</x:f>
        <x:v>10</x:v>
      </x:c>
      <x:c r="B15" s="6" t="n">
        <x:f>B14*(1+'Assumptions'!$D$7)</x:f>
        <x:v>39980.09254208867</x:v>
      </x:c>
      <x:c r="C15" s="6" t="n">
        <x:f>SUM(B$6:B15)</x:f>
        <x:v>289731.2493181968</x:v>
      </x:c>
      <x:c r="D15" s="6" t="n">
        <x:f>B15*'Retention'!D6+B14*'Retention'!D7+B13*'Retention'!D8+B12*'Retention'!D9+B11*'Retention'!D10+B10*'Retention'!D11+B9*'Retention'!D12+B8*'Retention'!D13+B7*'Retention'!D14+B6*'Retention'!D15</x:f>
        <x:v>99305.13216985203</x:v>
      </x:c>
      <x:c r="E15" s="6" t="n">
        <x:f>D15*'Assumptions'!$D$15</x:f>
        <x:v>24826.28304246301</x:v>
      </x:c>
      <x:c r="F15" s="6" t="n">
        <x:f>IF(A15&gt;'Assumptions'!$D$30,INDEX(B$6:B$29,A15-'Assumptions'!$D$30),0)*'Assumptions'!$D$8</x:f>
        <x:v>1110.5581261691295</x:v>
      </x:c>
      <x:c r="G15" s="6" t="n">
        <x:f>IF(A15&gt;'Assumptions'!$D$30,INDEX(B$6:B$29,A15-'Assumptions'!$D$30),0)*'Assumptions'!$D$10</x:f>
        <x:v>1480.7441682255062</x:v>
      </x:c>
      <x:c r="H15" s="6" t="n">
        <x:f>F15*'Assumptions'!$D$9+G15*'Assumptions'!$D$11</x:f>
        <x:v>19593.94720604401</x:v>
      </x:c>
      <x:c r="I15" s="6" t="n">
        <x:f>H15-H15/(1+'Assumptions'!$D$12)</x:f>
        <x:v>3265.657867674001</x:v>
      </x:c>
      <x:c r="J15" s="6" t="n">
        <x:f>(H15-I15)*'Assumptions'!$D$13</x:f>
        <x:v>489.8486801511002</x:v>
      </x:c>
      <x:c r="K15" s="6" t="n">
        <x:f>(H15-I15-J15)*'Assumptions'!$D$14</x:f>
        <x:v>2375.766098732836</x:v>
      </x:c>
      <x:c r="L15" s="6" t="n">
        <x:f>H15-SUM(I15:K15)</x:f>
        <x:v>13462.674559486073</x:v>
      </x:c>
      <x:c r="M15" s="6" t="n">
        <x:f>E15*'Assumptions'!$D$19*'Assumptions'!$D$17*'Assumptions'!$D$18/1000*'Assumptions'!$D$16</x:f>
        <x:v>0</x:v>
      </x:c>
      <x:c r="N15" s="6" t="n">
        <x:f>SUM(L15:M15)</x:f>
        <x:v>13462.674559486073</x:v>
      </x:c>
      <x:c r="O15" s="6" t="n">
        <x:f>'Assumptions'!$D$20+D15/1000*'Assumptions'!$D$21</x:f>
        <x:v>647.2205286794081</x:v>
      </x:c>
      <x:c r="P15" s="6" t="n">
        <x:f>'Assumptions'!$D$22</x:f>
        <x:v>400</x:v>
      </x:c>
      <x:c r="Q15" s="6" t="n">
        <x:f>'Assumptions'!$D$23</x:f>
        <x:v>0</x:v>
      </x:c>
      <x:c r="R15" s="6" t="n">
        <x:f>SUM(O15:Q15)</x:f>
        <x:v>1047.220528679408</x:v>
      </x:c>
      <x:c r="S15" s="6" t="n">
        <x:f>N15-R15</x:f>
        <x:v>12415.454030806664</x:v>
      </x:c>
      <x:c r="T15" s="6" t="n">
        <x:f>IF(A15&gt;'Assumptions'!$D$31,INDEX(N$6:N$29,A15-'Assumptions'!$D$31),0)</x:f>
        <x:v>12465.439406931548</x:v>
      </x:c>
      <x:c r="U15" s="6" t="n">
        <x:f>'Assumptions'!$D$29-'Assumptions'!$D$27-'Assumptions'!$D$28+SUM(T$6:T15)-SUM(R$6:R15)</x:f>
        <x:v>65530.77857800885</x:v>
      </x:c>
      <x:c r="V15" s="6" t="n">
        <x:f>'Assumptions'!$D$24*'Assumptions'!$D$25</x:f>
        <x:v>2400</x:v>
      </x:c>
      <x:c r="W15" s="6" t="n">
        <x:f>SUM(S$6:S15)-SUM(V$6:V15)-'Assumptions'!$D$27-'Assumptions'!$D$28-'Assumptions'!$D$26*'Assumptions'!$D$25</x:f>
        <x:v>14993.45313749493</x:v>
      </x:c>
    </x:row>
    <x:row r="16" ht="22" customHeight="1">
      <x:c r="A16" s="46" t="n">
        <x:f>11</x:f>
        <x:v>11</x:v>
      </x:c>
      <x:c r="B16" s="6" t="n">
        <x:f>B15*(1+'Assumptions'!$D$7)</x:f>
        <x:v>43178.49994545577</x:v>
      </x:c>
      <x:c r="C16" s="6" t="n">
        <x:f>SUM(B$6:B16)</x:f>
        <x:v>332909.74926365254</x:v>
      </x:c>
      <x:c r="D16" s="6" t="n">
        <x:f>B16*'Retention'!D6+B15*'Retention'!D7+B14*'Retention'!D8+B13*'Retention'!D9+B12*'Retention'!D10+B11*'Retention'!D11+B10*'Retention'!D12+B9*'Retention'!D13+B8*'Retention'!D14+B7*'Retention'!D15+B6*'Retention'!D16</x:f>
        <x:v>110804.66726047717</x:v>
      </x:c>
      <x:c r="E16" s="6" t="n">
        <x:f>D16*'Assumptions'!$D$15</x:f>
        <x:v>27701.166815119293</x:v>
      </x:c>
      <x:c r="F16" s="6" t="n">
        <x:f>IF(A16&gt;'Assumptions'!$D$30,INDEX(B$6:B$29,A16-'Assumptions'!$D$30),0)*'Assumptions'!$D$8</x:f>
        <x:v>1199.4027762626602</x:v>
      </x:c>
      <x:c r="G16" s="6" t="n">
        <x:f>IF(A16&gt;'Assumptions'!$D$30,INDEX(B$6:B$29,A16-'Assumptions'!$D$30),0)*'Assumptions'!$D$10</x:f>
        <x:v>1599.2037016835468</x:v>
      </x:c>
      <x:c r="H16" s="6" t="n">
        <x:f>F16*'Assumptions'!$D$9+G16*'Assumptions'!$D$11</x:f>
        <x:v>21161.462982527533</x:v>
      </x:c>
      <x:c r="I16" s="6" t="n">
        <x:f>H16-H16/(1+'Assumptions'!$D$12)</x:f>
        <x:v>3526.91049708792</x:v>
      </x:c>
      <x:c r="J16" s="6" t="n">
        <x:f>(H16-I16)*'Assumptions'!$D$13</x:f>
        <x:v>529.0365745631884</x:v>
      </x:c>
      <x:c r="K16" s="6" t="n">
        <x:f>(H16-I16-J16)*'Assumptions'!$D$14</x:f>
        <x:v>2565.8273866314635</x:v>
      </x:c>
      <x:c r="L16" s="6" t="n">
        <x:f>H16-SUM(I16:K16)</x:f>
        <x:v>14539.68852424496</x:v>
      </x:c>
      <x:c r="M16" s="6" t="n">
        <x:f>E16*'Assumptions'!$D$19*'Assumptions'!$D$17*'Assumptions'!$D$18/1000*'Assumptions'!$D$16</x:f>
        <x:v>0</x:v>
      </x:c>
      <x:c r="N16" s="6" t="n">
        <x:f>SUM(L16:M16)</x:f>
        <x:v>14539.68852424496</x:v>
      </x:c>
      <x:c r="O16" s="6" t="n">
        <x:f>'Assumptions'!$D$20+D16/1000*'Assumptions'!$D$21</x:f>
        <x:v>693.2186690419087</x:v>
      </x:c>
      <x:c r="P16" s="6" t="n">
        <x:f>'Assumptions'!$D$22</x:f>
        <x:v>400</x:v>
      </x:c>
      <x:c r="Q16" s="6" t="n">
        <x:f>'Assumptions'!$D$23</x:f>
        <x:v>0</x:v>
      </x:c>
      <x:c r="R16" s="6" t="n">
        <x:f>SUM(O16:Q16)</x:f>
        <x:v>1093.2186690419087</x:v>
      </x:c>
      <x:c r="S16" s="6" t="n">
        <x:f>N16-R16</x:f>
        <x:v>13446.469855203051</x:v>
      </x:c>
      <x:c r="T16" s="6" t="n">
        <x:f>IF(A16&gt;'Assumptions'!$D$31,INDEX(N$6:N$29,A16-'Assumptions'!$D$31),0)</x:f>
        <x:v>13462.674559486073</x:v>
      </x:c>
      <x:c r="U16" s="6" t="n">
        <x:f>'Assumptions'!$D$29-'Assumptions'!$D$27-'Assumptions'!$D$28+SUM(T$6:T16)-SUM(R$6:R16)</x:f>
        <x:v>77900.23446845301</x:v>
      </x:c>
      <x:c r="V16" s="6" t="n">
        <x:f>'Assumptions'!$D$24*'Assumptions'!$D$25</x:f>
        <x:v>2400</x:v>
      </x:c>
      <x:c r="W16" s="6" t="n">
        <x:f>SUM(S$6:S16)-SUM(V$6:V16)-'Assumptions'!$D$27-'Assumptions'!$D$28-'Assumptions'!$D$26*'Assumptions'!$D$25</x:f>
        <x:v>26039.922992697975</x:v>
      </x:c>
    </x:row>
    <x:row r="17" ht="22" customHeight="1">
      <x:c r="A17" s="46" t="n">
        <x:f>12</x:f>
        <x:v>12</x:v>
      </x:c>
      <x:c r="B17" s="6" t="n">
        <x:f>B16*(1+'Assumptions'!$D$7)</x:f>
        <x:v>46632.77994109223</x:v>
      </x:c>
      <x:c r="C17" s="6" t="n">
        <x:f>SUM(B$6:B17)</x:f>
        <x:v>379542.5292047448</x:v>
      </x:c>
      <x:c r="D17" s="6" t="n">
        <x:f>B17*'Retention'!D6+B16*'Retention'!D7+B15*'Retention'!D8+B14*'Retention'!D9+B13*'Retention'!D10+B12*'Retention'!D11+B11*'Retention'!D12+B10*'Retention'!D13+B9*'Retention'!D14+B8*'Retention'!D15+B7*'Retention'!D16+B6*'Retention'!D17</x:f>
        <x:v>123117.51142284121</x:v>
      </x:c>
      <x:c r="E17" s="6" t="n">
        <x:f>D17*'Assumptions'!$D$15</x:f>
        <x:v>30779.377855710303</x:v>
      </x:c>
      <x:c r="F17" s="6" t="n">
        <x:f>IF(A17&gt;'Assumptions'!$D$30,INDEX(B$6:B$29,A17-'Assumptions'!$D$30),0)*'Assumptions'!$D$8</x:f>
        <x:v>1295.354998363673</x:v>
      </x:c>
      <x:c r="G17" s="6" t="n">
        <x:f>IF(A17&gt;'Assumptions'!$D$30,INDEX(B$6:B$29,A17-'Assumptions'!$D$30),0)*'Assumptions'!$D$10</x:f>
        <x:v>1727.1399978182308</x:v>
      </x:c>
      <x:c r="H17" s="6" t="n">
        <x:f>F17*'Assumptions'!$D$9+G17*'Assumptions'!$D$11</x:f>
        <x:v>22854.38002112974</x:v>
      </x:c>
      <x:c r="I17" s="6" t="n">
        <x:f>H17-H17/(1+'Assumptions'!$D$12)</x:f>
        <x:v>3809.063336854957</x:v>
      </x:c>
      <x:c r="J17" s="6" t="n">
        <x:f>(H17-I17)*'Assumptions'!$D$13</x:f>
        <x:v>571.3595005282434</x:v>
      </x:c>
      <x:c r="K17" s="6" t="n">
        <x:f>(H17-I17-J17)*'Assumptions'!$D$14</x:f>
        <x:v>2771.0935775619805</x:v>
      </x:c>
      <x:c r="L17" s="6" t="n">
        <x:f>H17-SUM(I17:K17)</x:f>
        <x:v>15702.863606184557</x:v>
      </x:c>
      <x:c r="M17" s="6" t="n">
        <x:f>E17*'Assumptions'!$D$19*'Assumptions'!$D$17*'Assumptions'!$D$18/1000*'Assumptions'!$D$16</x:f>
        <x:v>0</x:v>
      </x:c>
      <x:c r="N17" s="6" t="n">
        <x:f>SUM(L17:M17)</x:f>
        <x:v>15702.863606184557</x:v>
      </x:c>
      <x:c r="O17" s="6" t="n">
        <x:f>'Assumptions'!$D$20+D17/1000*'Assumptions'!$D$21</x:f>
        <x:v>742.4700456913649</x:v>
      </x:c>
      <x:c r="P17" s="6" t="n">
        <x:f>'Assumptions'!$D$22</x:f>
        <x:v>400</x:v>
      </x:c>
      <x:c r="Q17" s="6" t="n">
        <x:f>'Assumptions'!$D$23</x:f>
        <x:v>0</x:v>
      </x:c>
      <x:c r="R17" s="6" t="n">
        <x:f>SUM(O17:Q17)</x:f>
        <x:v>1142.470045691365</x:v>
      </x:c>
      <x:c r="S17" s="6" t="n">
        <x:f>N17-R17</x:f>
        <x:v>14560.393560493192</x:v>
      </x:c>
      <x:c r="T17" s="6" t="n">
        <x:f>IF(A17&gt;'Assumptions'!$D$31,INDEX(N$6:N$29,A17-'Assumptions'!$D$31),0)</x:f>
        <x:v>14539.68852424496</x:v>
      </x:c>
      <x:c r="U17" s="6" t="n">
        <x:f>'Assumptions'!$D$29-'Assumptions'!$D$27-'Assumptions'!$D$28+SUM(T$6:T17)-SUM(R$6:R17)</x:f>
        <x:v>91297.45294700662</x:v>
      </x:c>
      <x:c r="V17" s="6" t="n">
        <x:f>'Assumptions'!$D$24*'Assumptions'!$D$25</x:f>
        <x:v>2400</x:v>
      </x:c>
      <x:c r="W17" s="6" t="n">
        <x:f>SUM(S$6:S17)-SUM(V$6:V17)-'Assumptions'!$D$27-'Assumptions'!$D$28-'Assumptions'!$D$26*'Assumptions'!$D$25</x:f>
        <x:v>38200.316553191165</x:v>
      </x:c>
    </x:row>
    <x:row r="18" ht="22" customHeight="1">
      <x:c r="A18" s="46" t="n">
        <x:f>13</x:f>
        <x:v>13</x:v>
      </x:c>
      <x:c r="B18" s="6" t="n">
        <x:f>B17*(1+'Assumptions'!$D$7)</x:f>
        <x:v>50363.402336379615</x:v>
      </x:c>
      <x:c r="C18" s="6" t="n">
        <x:f>SUM(B$6:B18)</x:f>
        <x:v>429905.9315411244</x:v>
      </x:c>
      <x:c r="D18" s="6" t="n">
        <x:f>B18*'Retention'!D6+B17*'Retention'!D7+B16*'Retention'!D8+B15*'Retention'!D9+B14*'Retention'!D10+B13*'Retention'!D11+B12*'Retention'!D12+B11*'Retention'!D13+B10*'Retention'!D14+B9*'Retention'!D15+B8*'Retention'!D16+B7*'Retention'!D17+B6*'Retention'!D18</x:f>
        <x:v>136311.9289947486</x:v>
      </x:c>
      <x:c r="E18" s="6" t="n">
        <x:f>D18*'Assumptions'!$D$15</x:f>
        <x:v>34077.98224868715</x:v>
      </x:c>
      <x:c r="F18" s="6" t="n">
        <x:f>IF(A18&gt;'Assumptions'!$D$30,INDEX(B$6:B$29,A18-'Assumptions'!$D$30),0)*'Assumptions'!$D$8</x:f>
        <x:v>1398.9833982327668</x:v>
      </x:c>
      <x:c r="G18" s="6" t="n">
        <x:f>IF(A18&gt;'Assumptions'!$D$30,INDEX(B$6:B$29,A18-'Assumptions'!$D$30),0)*'Assumptions'!$D$10</x:f>
        <x:v>1865.3111976436892</x:v>
      </x:c>
      <x:c r="H18" s="6" t="n">
        <x:f>F18*'Assumptions'!$D$9+G18*'Assumptions'!$D$11</x:f>
        <x:v>24682.730422820117</x:v>
      </x:c>
      <x:c r="I18" s="6" t="n">
        <x:f>H18-H18/(1+'Assumptions'!$D$12)</x:f>
        <x:v>4113.788403803352</x:v>
      </x:c>
      <x:c r="J18" s="6" t="n">
        <x:f>(H18-I18)*'Assumptions'!$D$13</x:f>
        <x:v>617.068260570503</x:v>
      </x:c>
      <x:c r="K18" s="6" t="n">
        <x:f>(H18-I18-J18)*'Assumptions'!$D$14</x:f>
        <x:v>2992.781063766939</x:v>
      </x:c>
      <x:c r="L18" s="6" t="n">
        <x:f>H18-SUM(I18:K18)</x:f>
        <x:v>16959.092694679322</x:v>
      </x:c>
      <x:c r="M18" s="6" t="n">
        <x:f>E18*'Assumptions'!$D$19*'Assumptions'!$D$17*'Assumptions'!$D$18/1000*'Assumptions'!$D$16</x:f>
        <x:v>0</x:v>
      </x:c>
      <x:c r="N18" s="6" t="n">
        <x:f>SUM(L18:M18)</x:f>
        <x:v>16959.092694679322</x:v>
      </x:c>
      <x:c r="O18" s="6" t="n">
        <x:f>'Assumptions'!$D$20+D18/1000*'Assumptions'!$D$21</x:f>
        <x:v>795.2477159789944</x:v>
      </x:c>
      <x:c r="P18" s="6" t="n">
        <x:f>'Assumptions'!$D$22</x:f>
        <x:v>400</x:v>
      </x:c>
      <x:c r="Q18" s="6" t="n">
        <x:f>'Assumptions'!$D$23</x:f>
        <x:v>0</x:v>
      </x:c>
      <x:c r="R18" s="6" t="n">
        <x:f>SUM(O18:Q18)</x:f>
        <x:v>1195.2477159789944</x:v>
      </x:c>
      <x:c r="S18" s="6" t="n">
        <x:f>N18-R18</x:f>
        <x:v>15763.844978700328</x:v>
      </x:c>
      <x:c r="T18" s="6" t="n">
        <x:f>IF(A18&gt;'Assumptions'!$D$31,INDEX(N$6:N$29,A18-'Assumptions'!$D$31),0)</x:f>
        <x:v>15702.863606184557</x:v>
      </x:c>
      <x:c r="U18" s="6" t="n">
        <x:f>'Assumptions'!$D$29-'Assumptions'!$D$27-'Assumptions'!$D$28+SUM(T$6:T18)-SUM(R$6:R18)</x:f>
        <x:v>105805.06883721218</x:v>
      </x:c>
      <x:c r="V18" s="6" t="n">
        <x:f>'Assumptions'!$D$24*'Assumptions'!$D$25</x:f>
        <x:v>2400</x:v>
      </x:c>
      <x:c r="W18" s="6" t="n">
        <x:f>SUM(S$6:S18)-SUM(V$6:V18)-'Assumptions'!$D$27-'Assumptions'!$D$28-'Assumptions'!$D$26*'Assumptions'!$D$25</x:f>
        <x:v>51564.1615318915</x:v>
      </x:c>
    </x:row>
    <x:row r="19" ht="22" customHeight="1">
      <x:c r="A19" s="46" t="n">
        <x:f>14</x:f>
        <x:v>14</x:v>
      </x:c>
      <x:c r="B19" s="6" t="n">
        <x:f>B18*(1+'Assumptions'!$D$7)</x:f>
        <x:v>54392.47452328999</x:v>
      </x:c>
      <x:c r="C19" s="6" t="n">
        <x:f>SUM(B$6:B19)</x:f>
        <x:v>484298.4060644144</x:v>
      </x:c>
      <x:c r="D19" s="6" t="n">
        <x:f>B19*'Retention'!D6+B18*'Retention'!D7+B17*'Retention'!D8+B16*'Retention'!D9+B15*'Retention'!D10+B14*'Retention'!D11+B13*'Retention'!D12+B12*'Retention'!D13+B11*'Retention'!D14+B10*'Retention'!D15+B9*'Retention'!D16+B8*'Retention'!D17+B7*'Retention'!D18+B6*'Retention'!D19</x:f>
        <x:v>150461.54947266617</x:v>
      </x:c>
      <x:c r="E19" s="6" t="n">
        <x:f>D19*'Assumptions'!$D$15</x:f>
        <x:v>37615.38736816654</x:v>
      </x:c>
      <x:c r="F19" s="6" t="n">
        <x:f>IF(A19&gt;'Assumptions'!$D$30,INDEX(B$6:B$29,A19-'Assumptions'!$D$30),0)*'Assumptions'!$D$8</x:f>
        <x:v>1510.9020700913884</x:v>
      </x:c>
      <x:c r="G19" s="6" t="n">
        <x:f>IF(A19&gt;'Assumptions'!$D$30,INDEX(B$6:B$29,A19-'Assumptions'!$D$30),0)*'Assumptions'!$D$10</x:f>
        <x:v>2014.5360934551848</x:v>
      </x:c>
      <x:c r="H19" s="6" t="n">
        <x:f>F19*'Assumptions'!$D$9+G19*'Assumptions'!$D$11</x:f>
        <x:v>26657.34885664573</x:v>
      </x:c>
      <x:c r="I19" s="6" t="n">
        <x:f>H19-H19/(1+'Assumptions'!$D$12)</x:f>
        <x:v>4442.891476107619</x:v>
      </x:c>
      <x:c r="J19" s="6" t="n">
        <x:f>(H19-I19)*'Assumptions'!$D$13</x:f>
        <x:v>666.4337214161433</x:v>
      </x:c>
      <x:c r="K19" s="6" t="n">
        <x:f>(H19-I19-J19)*'Assumptions'!$D$14</x:f>
        <x:v>3232.2035488682955</x:v>
      </x:c>
      <x:c r="L19" s="6" t="n">
        <x:f>H19-SUM(I19:K19)</x:f>
        <x:v>18315.820110253673</x:v>
      </x:c>
      <x:c r="M19" s="6" t="n">
        <x:f>E19*'Assumptions'!$D$19*'Assumptions'!$D$17*'Assumptions'!$D$18/1000*'Assumptions'!$D$16</x:f>
        <x:v>0</x:v>
      </x:c>
      <x:c r="N19" s="6" t="n">
        <x:f>SUM(L19:M19)</x:f>
        <x:v>18315.820110253673</x:v>
      </x:c>
      <x:c r="O19" s="6" t="n">
        <x:f>'Assumptions'!$D$20+D19/1000*'Assumptions'!$D$21</x:f>
        <x:v>851.8461978906647</x:v>
      </x:c>
      <x:c r="P19" s="6" t="n">
        <x:f>'Assumptions'!$D$22</x:f>
        <x:v>400</x:v>
      </x:c>
      <x:c r="Q19" s="6" t="n">
        <x:f>'Assumptions'!$D$23</x:f>
        <x:v>0</x:v>
      </x:c>
      <x:c r="R19" s="6" t="n">
        <x:f>SUM(O19:Q19)</x:f>
        <x:v>1251.8461978906648</x:v>
      </x:c>
      <x:c r="S19" s="6" t="n">
        <x:f>N19-R19</x:f>
        <x:v>17063.97391236301</x:v>
      </x:c>
      <x:c r="T19" s="6" t="n">
        <x:f>IF(A19&gt;'Assumptions'!$D$31,INDEX(N$6:N$29,A19-'Assumptions'!$D$31),0)</x:f>
        <x:v>16959.092694679322</x:v>
      </x:c>
      <x:c r="U19" s="6" t="n">
        <x:f>'Assumptions'!$D$29-'Assumptions'!$D$27-'Assumptions'!$D$28+SUM(T$6:T19)-SUM(R$6:R19)</x:f>
        <x:v>121512.31533400083</x:v>
      </x:c>
      <x:c r="V19" s="6" t="n">
        <x:f>'Assumptions'!$D$24*'Assumptions'!$D$25</x:f>
        <x:v>2400</x:v>
      </x:c>
      <x:c r="W19" s="6" t="n">
        <x:f>SUM(S$6:S19)-SUM(V$6:V19)-'Assumptions'!$D$27-'Assumptions'!$D$28-'Assumptions'!$D$26*'Assumptions'!$D$25</x:f>
        <x:v>66228.1354442545</x:v>
      </x:c>
    </x:row>
    <x:row r="20" ht="22" customHeight="1">
      <x:c r="A20" s="46" t="n">
        <x:f>15</x:f>
        <x:v>15</x:v>
      </x:c>
      <x:c r="B20" s="6" t="n">
        <x:f>B19*(1+'Assumptions'!$D$7)</x:f>
        <x:v>58743.87248515319</x:v>
      </x:c>
      <x:c r="C20" s="6" t="n">
        <x:f>SUM(B$6:B20)</x:f>
        <x:v>543042.2785495676</x:v>
      </x:c>
      <x:c r="D20" s="6" t="n">
        <x:f>B20*'Retention'!D6+B19*'Retention'!D7+B18*'Retention'!D8+B17*'Retention'!D9+B16*'Retention'!D10+B15*'Retention'!D11+B14*'Retention'!D12+B13*'Retention'!D13+B12*'Retention'!D14+B11*'Retention'!D15+B10*'Retention'!D16+B9*'Retention'!D17+B8*'Retention'!D18+B7*'Retention'!D19+B6*'Retention'!D20</x:f>
        <x:v>165645.79960406706</x:v>
      </x:c>
      <x:c r="E20" s="6" t="n">
        <x:f>D20*'Assumptions'!$D$15</x:f>
        <x:v>41411.449901016764</x:v>
      </x:c>
      <x:c r="F20" s="6" t="n">
        <x:f>IF(A20&gt;'Assumptions'!$D$30,INDEX(B$6:B$29,A20-'Assumptions'!$D$30),0)*'Assumptions'!$D$8</x:f>
        <x:v>1631.7742356986996</x:v>
      </x:c>
      <x:c r="G20" s="6" t="n">
        <x:f>IF(A20&gt;'Assumptions'!$D$30,INDEX(B$6:B$29,A20-'Assumptions'!$D$30),0)*'Assumptions'!$D$10</x:f>
        <x:v>2175.6989809315996</x:v>
      </x:c>
      <x:c r="H20" s="6" t="n">
        <x:f>F20*'Assumptions'!$D$9+G20*'Assumptions'!$D$11</x:f>
        <x:v>28789.93676517739</x:v>
      </x:c>
      <x:c r="I20" s="6" t="n">
        <x:f>H20-H20/(1+'Assumptions'!$D$12)</x:f>
        <x:v>4798.322794196232</x:v>
      </x:c>
      <x:c r="J20" s="6" t="n">
        <x:f>(H20-I20)*'Assumptions'!$D$13</x:f>
        <x:v>719.7484191294348</x:v>
      </x:c>
      <x:c r="K20" s="6" t="n">
        <x:f>(H20-I20-J20)*'Assumptions'!$D$14</x:f>
        <x:v>3490.779832777758</x:v>
      </x:c>
      <x:c r="L20" s="6" t="n">
        <x:f>H20-SUM(I20:K20)</x:f>
        <x:v>19781.085719073963</x:v>
      </x:c>
      <x:c r="M20" s="6" t="n">
        <x:f>E20*'Assumptions'!$D$19*'Assumptions'!$D$17*'Assumptions'!$D$18/1000*'Assumptions'!$D$16</x:f>
        <x:v>0</x:v>
      </x:c>
      <x:c r="N20" s="6" t="n">
        <x:f>SUM(L20:M20)</x:f>
        <x:v>19781.085719073963</x:v>
      </x:c>
      <x:c r="O20" s="6" t="n">
        <x:f>'Assumptions'!$D$20+D20/1000*'Assumptions'!$D$21</x:f>
        <x:v>912.5831984162683</x:v>
      </x:c>
      <x:c r="P20" s="6" t="n">
        <x:f>'Assumptions'!$D$22</x:f>
        <x:v>400</x:v>
      </x:c>
      <x:c r="Q20" s="6" t="n">
        <x:f>'Assumptions'!$D$23</x:f>
        <x:v>0</x:v>
      </x:c>
      <x:c r="R20" s="6" t="n">
        <x:f>SUM(O20:Q20)</x:f>
        <x:v>1312.5831984162683</x:v>
      </x:c>
      <x:c r="S20" s="6" t="n">
        <x:f>N20-R20</x:f>
        <x:v>18468.502520657694</x:v>
      </x:c>
      <x:c r="T20" s="6" t="n">
        <x:f>IF(A20&gt;'Assumptions'!$D$31,INDEX(N$6:N$29,A20-'Assumptions'!$D$31),0)</x:f>
        <x:v>18315.820110253673</x:v>
      </x:c>
      <x:c r="U20" s="6" t="n">
        <x:f>'Assumptions'!$D$29-'Assumptions'!$D$27-'Assumptions'!$D$28+SUM(T$6:T20)-SUM(R$6:R20)</x:f>
        <x:v>138515.55224583825</x:v>
      </x:c>
      <x:c r="V20" s="6" t="n">
        <x:f>'Assumptions'!$D$24*'Assumptions'!$D$25</x:f>
        <x:v>2400</x:v>
      </x:c>
      <x:c r="W20" s="6" t="n">
        <x:f>SUM(S$6:S20)-SUM(V$6:V20)-'Assumptions'!$D$27-'Assumptions'!$D$28-'Assumptions'!$D$26*'Assumptions'!$D$25</x:f>
        <x:v>82296.6379649122</x:v>
      </x:c>
    </x:row>
    <x:row r="21" ht="22" customHeight="1">
      <x:c r="A21" s="46" t="n">
        <x:f>16</x:f>
        <x:v>16</x:v>
      </x:c>
      <x:c r="B21" s="6" t="n">
        <x:f>B20*(1+'Assumptions'!$D$7)</x:f>
        <x:v>63443.382283965446</x:v>
      </x:c>
      <x:c r="C21" s="6" t="n">
        <x:f>SUM(B$6:B21)</x:f>
        <x:v>606485.660833533</x:v>
      </x:c>
      <x:c r="D21" s="6" t="n">
        <x:f>B21*'Retention'!D6+B20*'Retention'!D7+B19*'Retention'!D8+B18*'Retention'!D9+B17*'Retention'!D10+B16*'Retention'!D11+B15*'Retention'!D12+B14*'Retention'!D13+B13*'Retention'!D14+B12*'Retention'!D15+B11*'Retention'!D16+B10*'Retention'!D17+B9*'Retention'!D18+B8*'Retention'!D19+B7*'Retention'!D20+B6*'Retention'!D21</x:f>
        <x:v>181950.36996077234</x:v>
      </x:c>
      <x:c r="E21" s="6" t="n">
        <x:f>D21*'Assumptions'!$D$15</x:f>
        <x:v>45487.592490193085</x:v>
      </x:c>
      <x:c r="F21" s="6" t="n">
        <x:f>IF(A21&gt;'Assumptions'!$D$30,INDEX(B$6:B$29,A21-'Assumptions'!$D$30),0)*'Assumptions'!$D$8</x:f>
        <x:v>1762.3161745545956</x:v>
      </x:c>
      <x:c r="G21" s="6" t="n">
        <x:f>IF(A21&gt;'Assumptions'!$D$30,INDEX(B$6:B$29,A21-'Assumptions'!$D$30),0)*'Assumptions'!$D$10</x:f>
        <x:v>2349.7548994061276</x:v>
      </x:c>
      <x:c r="H21" s="6" t="n">
        <x:f>F21*'Assumptions'!$D$9+G21*'Assumptions'!$D$11</x:f>
        <x:v>31093.13170639158</x:v>
      </x:c>
      <x:c r="I21" s="6" t="n">
        <x:f>H21-H21/(1+'Assumptions'!$D$12)</x:f>
        <x:v>5182.188617731928</x:v>
      </x:c>
      <x:c r="J21" s="6" t="n">
        <x:f>(H21-I21)*'Assumptions'!$D$13</x:f>
        <x:v>777.3282926597896</x:v>
      </x:c>
      <x:c r="K21" s="6" t="n">
        <x:f>(H21-I21-J21)*'Assumptions'!$D$14</x:f>
        <x:v>3770.0422193999793</x:v>
      </x:c>
      <x:c r="L21" s="6" t="n">
        <x:f>H21-SUM(I21:K21)</x:f>
        <x:v>21363.572576599883</x:v>
      </x:c>
      <x:c r="M21" s="6" t="n">
        <x:f>E21*'Assumptions'!$D$19*'Assumptions'!$D$17*'Assumptions'!$D$18/1000*'Assumptions'!$D$16</x:f>
        <x:v>0</x:v>
      </x:c>
      <x:c r="N21" s="6" t="n">
        <x:f>SUM(L21:M21)</x:f>
        <x:v>21363.572576599883</x:v>
      </x:c>
      <x:c r="O21" s="6" t="n">
        <x:f>'Assumptions'!$D$20+D21/1000*'Assumptions'!$D$21</x:f>
        <x:v>977.8014798430894</x:v>
      </x:c>
      <x:c r="P21" s="6" t="n">
        <x:f>'Assumptions'!$D$22</x:f>
        <x:v>400</x:v>
      </x:c>
      <x:c r="Q21" s="6" t="n">
        <x:f>'Assumptions'!$D$23</x:f>
        <x:v>0</x:v>
      </x:c>
      <x:c r="R21" s="6" t="n">
        <x:f>SUM(O21:Q21)</x:f>
        <x:v>1377.8014798430895</x:v>
      </x:c>
      <x:c r="S21" s="6" t="n">
        <x:f>N21-R21</x:f>
        <x:v>19985.771096756795</x:v>
      </x:c>
      <x:c r="T21" s="6" t="n">
        <x:f>IF(A21&gt;'Assumptions'!$D$31,INDEX(N$6:N$29,A21-'Assumptions'!$D$31),0)</x:f>
        <x:v>19781.085719073963</x:v>
      </x:c>
      <x:c r="U21" s="6" t="n">
        <x:f>'Assumptions'!$D$29-'Assumptions'!$D$27-'Assumptions'!$D$28+SUM(T$6:T21)-SUM(R$6:R21)</x:f>
        <x:v>156918.8364850691</x:v>
      </x:c>
      <x:c r="V21" s="6" t="n">
        <x:f>'Assumptions'!$D$24*'Assumptions'!$D$25</x:f>
        <x:v>2400</x:v>
      </x:c>
      <x:c r="W21" s="6" t="n">
        <x:f>SUM(S$6:S21)-SUM(V$6:V21)-'Assumptions'!$D$27-'Assumptions'!$D$28-'Assumptions'!$D$26*'Assumptions'!$D$25</x:f>
        <x:v>99882.409061669</x:v>
      </x:c>
    </x:row>
    <x:row r="22" ht="22" customHeight="1">
      <x:c r="A22" s="46" t="n">
        <x:f>17</x:f>
        <x:v>17</x:v>
      </x:c>
      <x:c r="B22" s="6" t="n">
        <x:f>B21*(1+'Assumptions'!$D$7)</x:f>
        <x:v>68518.85286668269</x:v>
      </x:c>
      <x:c r="C22" s="6" t="n">
        <x:f>SUM(B$6:B22)</x:f>
        <x:v>675004.5137002157</x:v>
      </x:c>
      <x:c r="D22" s="6" t="n">
        <x:f>B22*'Retention'!D6+B21*'Retention'!D7+B20*'Retention'!D8+B19*'Retention'!D9+B18*'Retention'!D10+B17*'Retention'!D11+B16*'Retention'!D12+B15*'Retention'!D13+B14*'Retention'!D14+B13*'Retention'!D15+B12*'Retention'!D16+B11*'Retention'!D17+B10*'Retention'!D18+B9*'Retention'!D19+B8*'Retention'!D20+B7*'Retention'!D21+B6*'Retention'!D22</x:f>
        <x:v>199467.71875436266</x:v>
      </x:c>
      <x:c r="E22" s="6" t="n">
        <x:f>D22*'Assumptions'!$D$15</x:f>
        <x:v>49866.929688590666</x:v>
      </x:c>
      <x:c r="F22" s="6" t="n">
        <x:f>IF(A22&gt;'Assumptions'!$D$30,INDEX(B$6:B$29,A22-'Assumptions'!$D$30),0)*'Assumptions'!$D$8</x:f>
        <x:v>1903.3014685189632</x:v>
      </x:c>
      <x:c r="G22" s="6" t="n">
        <x:f>IF(A22&gt;'Assumptions'!$D$30,INDEX(B$6:B$29,A22-'Assumptions'!$D$30),0)*'Assumptions'!$D$10</x:f>
        <x:v>2537.735291358618</x:v>
      </x:c>
      <x:c r="H22" s="6" t="n">
        <x:f>F22*'Assumptions'!$D$9+G22*'Assumptions'!$D$11</x:f>
        <x:v>33580.58224290291</x:v>
      </x:c>
      <x:c r="I22" s="6" t="n">
        <x:f>H22-H22/(1+'Assumptions'!$D$12)</x:f>
        <x:v>5596.763707150483</x:v>
      </x:c>
      <x:c r="J22" s="6" t="n">
        <x:f>(H22-I22)*'Assumptions'!$D$13</x:f>
        <x:v>839.5145560725726</x:v>
      </x:c>
      <x:c r="K22" s="6" t="n">
        <x:f>(H22-I22-J22)*'Assumptions'!$D$14</x:f>
        <x:v>4071.6455969519775</x:v>
      </x:c>
      <x:c r="L22" s="6" t="n">
        <x:f>H22-SUM(I22:K22)</x:f>
        <x:v>23072.658382727874</x:v>
      </x:c>
      <x:c r="M22" s="6" t="n">
        <x:f>E22*'Assumptions'!$D$19*'Assumptions'!$D$17*'Assumptions'!$D$18/1000*'Assumptions'!$D$16</x:f>
        <x:v>0</x:v>
      </x:c>
      <x:c r="N22" s="6" t="n">
        <x:f>SUM(L22:M22)</x:f>
        <x:v>23072.658382727874</x:v>
      </x:c>
      <x:c r="O22" s="6" t="n">
        <x:f>'Assumptions'!$D$20+D22/1000*'Assumptions'!$D$21</x:f>
        <x:v>1047.8708750174505</x:v>
      </x:c>
      <x:c r="P22" s="6" t="n">
        <x:f>'Assumptions'!$D$22</x:f>
        <x:v>400</x:v>
      </x:c>
      <x:c r="Q22" s="6" t="n">
        <x:f>'Assumptions'!$D$23</x:f>
        <x:v>0</x:v>
      </x:c>
      <x:c r="R22" s="6" t="n">
        <x:f>SUM(O22:Q22)</x:f>
        <x:v>1447.8708750174505</x:v>
      </x:c>
      <x:c r="S22" s="6" t="n">
        <x:f>N22-R22</x:f>
        <x:v>21624.78750771042</x:v>
      </x:c>
      <x:c r="T22" s="6" t="n">
        <x:f>IF(A22&gt;'Assumptions'!$D$31,INDEX(N$6:N$29,A22-'Assumptions'!$D$31),0)</x:f>
        <x:v>21363.572576599883</x:v>
      </x:c>
      <x:c r="U22" s="6" t="n">
        <x:f>'Assumptions'!$D$29-'Assumptions'!$D$27-'Assumptions'!$D$28+SUM(T$6:T22)-SUM(R$6:R22)</x:f>
        <x:v>176834.53818665154</x:v>
      </x:c>
      <x:c r="V22" s="6" t="n">
        <x:f>'Assumptions'!$D$24*'Assumptions'!$D$25</x:f>
        <x:v>2400</x:v>
      </x:c>
      <x:c r="W22" s="6" t="n">
        <x:f>SUM(S$6:S22)-SUM(V$6:V22)-'Assumptions'!$D$27-'Assumptions'!$D$28-'Assumptions'!$D$26*'Assumptions'!$D$25</x:f>
        <x:v>119107.19656937942</x:v>
      </x:c>
    </x:row>
    <x:row r="23" ht="22" customHeight="1">
      <x:c r="A23" s="46" t="n">
        <x:f>18</x:f>
        <x:v>18</x:v>
      </x:c>
      <x:c r="B23" s="6" t="n">
        <x:f>B22*(1+'Assumptions'!$D$7)</x:f>
        <x:v>74000.36109601731</x:v>
      </x:c>
      <x:c r="C23" s="6" t="n">
        <x:f>SUM(B$6:B23)</x:f>
        <x:v>749004.874796233</x:v>
      </x:c>
      <x:c r="D23" s="6" t="n">
        <x:f>B23*'Retention'!D6+B22*'Retention'!D7+B21*'Retention'!D8+B20*'Retention'!D9+B19*'Retention'!D10+B18*'Retention'!D11+B17*'Retention'!D12+B16*'Retention'!D13+B15*'Retention'!D14+B14*'Retention'!D15+B13*'Retention'!D16+B12*'Retention'!D17+B11*'Retention'!D18+B10*'Retention'!D19+B9*'Retention'!D20+B8*'Retention'!D21+B7*'Retention'!D22+B6*'Retention'!D23</x:f>
        <x:v>218297.61587553838</x:v>
      </x:c>
      <x:c r="E23" s="6" t="n">
        <x:f>D23*'Assumptions'!$D$15</x:f>
        <x:v>54574.403968884595</x:v>
      </x:c>
      <x:c r="F23" s="6" t="n">
        <x:f>IF(A23&gt;'Assumptions'!$D$30,INDEX(B$6:B$29,A23-'Assumptions'!$D$30),0)*'Assumptions'!$D$8</x:f>
        <x:v>2055.565586000481</x:v>
      </x:c>
      <x:c r="G23" s="6" t="n">
        <x:f>IF(A23&gt;'Assumptions'!$D$30,INDEX(B$6:B$29,A23-'Assumptions'!$D$30),0)*'Assumptions'!$D$10</x:f>
        <x:v>2740.7541146673075</x:v>
      </x:c>
      <x:c r="H23" s="6" t="n">
        <x:f>F23*'Assumptions'!$D$9+G23*'Assumptions'!$D$11</x:f>
        <x:v>36267.02882233515</x:v>
      </x:c>
      <x:c r="I23" s="6" t="n">
        <x:f>H23-H23/(1+'Assumptions'!$D$12)</x:f>
        <x:v>6044.504803722524</x:v>
      </x:c>
      <x:c r="J23" s="6" t="n">
        <x:f>(H23-I23)*'Assumptions'!$D$13</x:f>
        <x:v>906.6757205583788</x:v>
      </x:c>
      <x:c r="K23" s="6" t="n">
        <x:f>(H23-I23-J23)*'Assumptions'!$D$14</x:f>
        <x:v>4397.377244708137</x:v>
      </x:c>
      <x:c r="L23" s="6" t="n">
        <x:f>H23-SUM(I23:K23)</x:f>
        <x:v>24918.47105334611</x:v>
      </x:c>
      <x:c r="M23" s="6" t="n">
        <x:f>E23*'Assumptions'!$D$19*'Assumptions'!$D$17*'Assumptions'!$D$18/1000*'Assumptions'!$D$16</x:f>
        <x:v>0</x:v>
      </x:c>
      <x:c r="N23" s="6" t="n">
        <x:f>SUM(L23:M23)</x:f>
        <x:v>24918.47105334611</x:v>
      </x:c>
      <x:c r="O23" s="6" t="n">
        <x:f>'Assumptions'!$D$20+D23/1000*'Assumptions'!$D$21</x:f>
        <x:v>1123.1904635021535</x:v>
      </x:c>
      <x:c r="P23" s="6" t="n">
        <x:f>'Assumptions'!$D$22</x:f>
        <x:v>400</x:v>
      </x:c>
      <x:c r="Q23" s="6" t="n">
        <x:f>'Assumptions'!$D$23</x:f>
        <x:v>0</x:v>
      </x:c>
      <x:c r="R23" s="6" t="n">
        <x:f>SUM(O23:Q23)</x:f>
        <x:v>1523.1904635021535</x:v>
      </x:c>
      <x:c r="S23" s="6" t="n">
        <x:f>N23-R23</x:f>
        <x:v>23395.28058984396</x:v>
      </x:c>
      <x:c r="T23" s="6" t="n">
        <x:f>IF(A23&gt;'Assumptions'!$D$31,INDEX(N$6:N$29,A23-'Assumptions'!$D$31),0)</x:f>
        <x:v>23072.658382727874</x:v>
      </x:c>
      <x:c r="U23" s="6" t="n">
        <x:f>'Assumptions'!$D$29-'Assumptions'!$D$27-'Assumptions'!$D$28+SUM(T$6:T23)-SUM(R$6:R23)</x:f>
        <x:v>198384.00610587726</x:v>
      </x:c>
      <x:c r="V23" s="6" t="n">
        <x:f>'Assumptions'!$D$24*'Assumptions'!$D$25</x:f>
        <x:v>2400</x:v>
      </x:c>
      <x:c r="W23" s="6" t="n">
        <x:f>SUM(S$6:S23)-SUM(V$6:V23)-'Assumptions'!$D$27-'Assumptions'!$D$28-'Assumptions'!$D$26*'Assumptions'!$D$25</x:f>
        <x:v>140102.47715922337</x:v>
      </x:c>
    </x:row>
    <x:row r="24" ht="22" customHeight="1">
      <x:c r="A24" s="46" t="n">
        <x:f>19</x:f>
        <x:v>19</x:v>
      </x:c>
      <x:c r="B24" s="6" t="n">
        <x:f>B23*(1+'Assumptions'!$D$7)</x:f>
        <x:v>79920.3899836987</x:v>
      </x:c>
      <x:c r="C24" s="6" t="n">
        <x:f>SUM(B$6:B24)</x:f>
        <x:v>828925.2647799317</x:v>
      </x:c>
      <x:c r="D24" s="6" t="n">
        <x:f>B24*'Retention'!D6+B23*'Retention'!D7+B22*'Retention'!D8+B21*'Retention'!D9+B20*'Retention'!D10+B19*'Retention'!D11+B18*'Retention'!D12+B17*'Retention'!D13+B16*'Retention'!D14+B15*'Retention'!D15+B14*'Retention'!D16+B13*'Retention'!D17+B12*'Retention'!D18+B11*'Retention'!D19+B10*'Retention'!D20+B9*'Retention'!D21+B8*'Retention'!D22+B7*'Retention'!D23+B6*'Retention'!D24</x:f>
        <x:v>238547.7303777834</x:v>
      </x:c>
      <x:c r="E24" s="6" t="n">
        <x:f>D24*'Assumptions'!$D$15</x:f>
        <x:v>59636.93259444585</x:v>
      </x:c>
      <x:c r="F24" s="6" t="n">
        <x:f>IF(A24&gt;'Assumptions'!$D$30,INDEX(B$6:B$29,A24-'Assumptions'!$D$30),0)*'Assumptions'!$D$8</x:f>
        <x:v>2220.010832880519</x:v>
      </x:c>
      <x:c r="G24" s="6" t="n">
        <x:f>IF(A24&gt;'Assumptions'!$D$30,INDEX(B$6:B$29,A24-'Assumptions'!$D$30),0)*'Assumptions'!$D$10</x:f>
        <x:v>2960.0144438406924</x:v>
      </x:c>
      <x:c r="H24" s="6" t="n">
        <x:f>F24*'Assumptions'!$D$9+G24*'Assumptions'!$D$11</x:f>
        <x:v>39168.39112812196</x:v>
      </x:c>
      <x:c r="I24" s="6" t="n">
        <x:f>H24-H24/(1+'Assumptions'!$D$12)</x:f>
        <x:v>6528.065188020326</x:v>
      </x:c>
      <x:c r="J24" s="6" t="n">
        <x:f>(H24-I24)*'Assumptions'!$D$13</x:f>
        <x:v>979.209778203049</x:v>
      </x:c>
      <x:c r="K24" s="6" t="n">
        <x:f>(H24-I24-J24)*'Assumptions'!$D$14</x:f>
        <x:v>4749.167424284788</x:v>
      </x:c>
      <x:c r="L24" s="6" t="n">
        <x:f>H24-SUM(I24:K24)</x:f>
        <x:v>26911.9487376138</x:v>
      </x:c>
      <x:c r="M24" s="6" t="n">
        <x:f>E24*'Assumptions'!$D$19*'Assumptions'!$D$17*'Assumptions'!$D$18/1000*'Assumptions'!$D$16</x:f>
        <x:v>0</x:v>
      </x:c>
      <x:c r="N24" s="6" t="n">
        <x:f>SUM(L24:M24)</x:f>
        <x:v>26911.9487376138</x:v>
      </x:c>
      <x:c r="O24" s="6" t="n">
        <x:f>'Assumptions'!$D$20+D24/1000*'Assumptions'!$D$21</x:f>
        <x:v>1204.1909215111336</x:v>
      </x:c>
      <x:c r="P24" s="6" t="n">
        <x:f>'Assumptions'!$D$22</x:f>
        <x:v>400</x:v>
      </x:c>
      <x:c r="Q24" s="6" t="n">
        <x:f>'Assumptions'!$D$23</x:f>
        <x:v>0</x:v>
      </x:c>
      <x:c r="R24" s="6" t="n">
        <x:f>SUM(O24:Q24)</x:f>
        <x:v>1604.1909215111336</x:v>
      </x:c>
      <x:c r="S24" s="6" t="n">
        <x:f>N24-R24</x:f>
        <x:v>25307.757816102665</x:v>
      </x:c>
      <x:c r="T24" s="6" t="n">
        <x:f>IF(A24&gt;'Assumptions'!$D$31,INDEX(N$6:N$29,A24-'Assumptions'!$D$31),0)</x:f>
        <x:v>24918.47105334611</x:v>
      </x:c>
      <x:c r="U24" s="6" t="n">
        <x:f>'Assumptions'!$D$29-'Assumptions'!$D$27-'Assumptions'!$D$28+SUM(T$6:T24)-SUM(R$6:R24)</x:f>
        <x:v>221698.28623771225</x:v>
      </x:c>
      <x:c r="V24" s="6" t="n">
        <x:f>'Assumptions'!$D$24*'Assumptions'!$D$25</x:f>
        <x:v>2400</x:v>
      </x:c>
      <x:c r="W24" s="6" t="n">
        <x:f>SUM(S$6:S24)-SUM(V$6:V24)-'Assumptions'!$D$27-'Assumptions'!$D$28-'Assumptions'!$D$26*'Assumptions'!$D$25</x:f>
        <x:v>163010.23497532605</x:v>
      </x:c>
    </x:row>
    <x:row r="25" ht="22" customHeight="1">
      <x:c r="A25" s="46" t="n">
        <x:f>20</x:f>
        <x:v>20</x:v>
      </x:c>
      <x:c r="B25" s="6" t="n">
        <x:f>B24*(1+'Assumptions'!$D$7)</x:f>
        <x:v>86314.0211823946</x:v>
      </x:c>
      <x:c r="C25" s="6" t="n">
        <x:f>SUM(B$6:B25)</x:f>
        <x:v>915239.2859623263</x:v>
      </x:c>
      <x:c r="D25" s="6" t="n">
        <x:f>B25*'Retention'!D6+B24*'Retention'!D7+B23*'Retention'!D8+B22*'Retention'!D9+B21*'Retention'!D10+B20*'Retention'!D11+B19*'Retention'!D12+B18*'Retention'!D13+B17*'Retention'!D14+B16*'Retention'!D15+B15*'Retention'!D16+B14*'Retention'!D17+B13*'Retention'!D18+B12*'Retention'!D19+B11*'Retention'!D20+B10*'Retention'!D21+B9*'Retention'!D22+B8*'Retention'!D23+B7*'Retention'!D24+B6*'Retention'!D25</x:f>
        <x:v>260334.26488324185</x:v>
      </x:c>
      <x:c r="E25" s="6" t="n">
        <x:f>D25*'Assumptions'!$D$15</x:f>
        <x:v>65083.56622081046</x:v>
      </x:c>
      <x:c r="F25" s="6" t="n">
        <x:f>IF(A25&gt;'Assumptions'!$D$30,INDEX(B$6:B$29,A25-'Assumptions'!$D$30),0)*'Assumptions'!$D$8</x:f>
        <x:v>2397.611699510961</x:v>
      </x:c>
      <x:c r="G25" s="6" t="n">
        <x:f>IF(A25&gt;'Assumptions'!$D$30,INDEX(B$6:B$29,A25-'Assumptions'!$D$30),0)*'Assumptions'!$D$10</x:f>
        <x:v>3196.815599347948</x:v>
      </x:c>
      <x:c r="H25" s="6" t="n">
        <x:f>F25*'Assumptions'!$D$9+G25*'Assumptions'!$D$11</x:f>
        <x:v>42301.86241837172</x:v>
      </x:c>
      <x:c r="I25" s="6" t="n">
        <x:f>H25-H25/(1+'Assumptions'!$D$12)</x:f>
        <x:v>7050.310403061951</x:v>
      </x:c>
      <x:c r="J25" s="6" t="n">
        <x:f>(H25-I25)*'Assumptions'!$D$13</x:f>
        <x:v>1057.546560459293</x:v>
      </x:c>
      <x:c r="K25" s="6" t="n">
        <x:f>(H25-I25-J25)*'Assumptions'!$D$14</x:f>
        <x:v>5129.100818227572</x:v>
      </x:c>
      <x:c r="L25" s="6" t="n">
        <x:f>H25-SUM(I25:K25)</x:f>
        <x:v>29064.9046366229</x:v>
      </x:c>
      <x:c r="M25" s="6" t="n">
        <x:f>E25*'Assumptions'!$D$19*'Assumptions'!$D$17*'Assumptions'!$D$18/1000*'Assumptions'!$D$16</x:f>
        <x:v>0</x:v>
      </x:c>
      <x:c r="N25" s="6" t="n">
        <x:f>SUM(L25:M25)</x:f>
        <x:v>29064.9046366229</x:v>
      </x:c>
      <x:c r="O25" s="6" t="n">
        <x:f>'Assumptions'!$D$20+D25/1000*'Assumptions'!$D$21</x:f>
        <x:v>1291.3370595329675</x:v>
      </x:c>
      <x:c r="P25" s="6" t="n">
        <x:f>'Assumptions'!$D$22</x:f>
        <x:v>400</x:v>
      </x:c>
      <x:c r="Q25" s="6" t="n">
        <x:f>'Assumptions'!$D$23</x:f>
        <x:v>0</x:v>
      </x:c>
      <x:c r="R25" s="6" t="n">
        <x:f>SUM(O25:Q25)</x:f>
        <x:v>1691.3370595329675</x:v>
      </x:c>
      <x:c r="S25" s="6" t="n">
        <x:f>N25-R25</x:f>
        <x:v>27373.567577089932</x:v>
      </x:c>
      <x:c r="T25" s="6" t="n">
        <x:f>IF(A25&gt;'Assumptions'!$D$31,INDEX(N$6:N$29,A25-'Assumptions'!$D$31),0)</x:f>
        <x:v>26911.9487376138</x:v>
      </x:c>
      <x:c r="U25" s="6" t="n">
        <x:f>'Assumptions'!$D$29-'Assumptions'!$D$27-'Assumptions'!$D$28+SUM(T$6:T25)-SUM(R$6:R25)</x:f>
        <x:v>246918.8979157931</x:v>
      </x:c>
      <x:c r="V25" s="6" t="n">
        <x:f>'Assumptions'!$D$24*'Assumptions'!$D$25</x:f>
        <x:v>2400</x:v>
      </x:c>
      <x:c r="W25" s="6" t="n">
        <x:f>SUM(S$6:S25)-SUM(V$6:V25)-'Assumptions'!$D$27-'Assumptions'!$D$28-'Assumptions'!$D$26*'Assumptions'!$D$25</x:f>
        <x:v>187983.802552416</x:v>
      </x:c>
    </x:row>
    <x:row r="26" ht="22" customHeight="1">
      <x:c r="A26" s="46" t="n">
        <x:f>21</x:f>
        <x:v>21</x:v>
      </x:c>
      <x:c r="B26" s="6" t="n">
        <x:f>B25*(1+'Assumptions'!$D$7)</x:f>
        <x:v>93219.14287698618</x:v>
      </x:c>
      <x:c r="C26" s="6" t="n">
        <x:f>SUM(B$6:B26)</x:f>
        <x:v>1008458.4288393125</x:v>
      </x:c>
      <x:c r="D26" s="6" t="n">
        <x:f>B26*'Retention'!D6+B25*'Retention'!D7+B24*'Retention'!D8+B23*'Retention'!D9+B22*'Retention'!D10+B21*'Retention'!D11+B20*'Retention'!D12+B19*'Retention'!D13+B18*'Retention'!D14+B17*'Retention'!D15+B16*'Retention'!D16+B15*'Retention'!D17+B14*'Retention'!D18+B13*'Retention'!D19+B12*'Retention'!D20+B11*'Retention'!D21+B10*'Retention'!D22+B9*'Retention'!D23+B8*'Retention'!D24+B7*'Retention'!D25+B6*'Retention'!D26</x:f>
        <x:v>283782.64066688</x:v>
      </x:c>
      <x:c r="E26" s="6" t="n">
        <x:f>D26*'Assumptions'!$D$15</x:f>
        <x:v>70945.66016672</x:v>
      </x:c>
      <x:c r="F26" s="6" t="n">
        <x:f>IF(A26&gt;'Assumptions'!$D$30,INDEX(B$6:B$29,A26-'Assumptions'!$D$30),0)*'Assumptions'!$D$8</x:f>
        <x:v>2589.420635471838</x:v>
      </x:c>
      <x:c r="G26" s="6" t="n">
        <x:f>IF(A26&gt;'Assumptions'!$D$30,INDEX(B$6:B$29,A26-'Assumptions'!$D$30),0)*'Assumptions'!$D$10</x:f>
        <x:v>3452.5608472957842</x:v>
      </x:c>
      <x:c r="H26" s="6" t="n">
        <x:f>F26*'Assumptions'!$D$9+G26*'Assumptions'!$D$11</x:f>
        <x:v>45686.011411841464</x:v>
      </x:c>
      <x:c r="I26" s="6" t="n">
        <x:f>H26-H26/(1+'Assumptions'!$D$12)</x:f>
        <x:v>7614.335235306906</x:v>
      </x:c>
      <x:c r="J26" s="6" t="n">
        <x:f>(H26-I26)*'Assumptions'!$D$13</x:f>
        <x:v>1142.1502852960366</x:v>
      </x:c>
      <x:c r="K26" s="6" t="n">
        <x:f>(H26-I26-J26)*'Assumptions'!$D$14</x:f>
        <x:v>5539.428883685778</x:v>
      </x:c>
      <x:c r="L26" s="6" t="n">
        <x:f>H26-SUM(I26:K26)</x:f>
        <x:v>31390.097007552744</x:v>
      </x:c>
      <x:c r="M26" s="6" t="n">
        <x:f>E26*'Assumptions'!$D$19*'Assumptions'!$D$17*'Assumptions'!$D$18/1000*'Assumptions'!$D$16</x:f>
        <x:v>0</x:v>
      </x:c>
      <x:c r="N26" s="6" t="n">
        <x:f>SUM(L26:M26)</x:f>
        <x:v>31390.097007552744</x:v>
      </x:c>
      <x:c r="O26" s="6" t="n">
        <x:f>'Assumptions'!$D$20+D26/1000*'Assumptions'!$D$21</x:f>
        <x:v>1385.13056266752</x:v>
      </x:c>
      <x:c r="P26" s="6" t="n">
        <x:f>'Assumptions'!$D$22</x:f>
        <x:v>400</x:v>
      </x:c>
      <x:c r="Q26" s="6" t="n">
        <x:f>'Assumptions'!$D$23</x:f>
        <x:v>0</x:v>
      </x:c>
      <x:c r="R26" s="6" t="n">
        <x:f>SUM(O26:Q26)</x:f>
        <x:v>1785.13056266752</x:v>
      </x:c>
      <x:c r="S26" s="6" t="n">
        <x:f>N26-R26</x:f>
        <x:v>29604.966444885224</x:v>
      </x:c>
      <x:c r="T26" s="6" t="n">
        <x:f>IF(A26&gt;'Assumptions'!$D$31,INDEX(N$6:N$29,A26-'Assumptions'!$D$31),0)</x:f>
        <x:v>29064.9046366229</x:v>
      </x:c>
      <x:c r="U26" s="6" t="n">
        <x:f>'Assumptions'!$D$29-'Assumptions'!$D$27-'Assumptions'!$D$28+SUM(T$6:T26)-SUM(R$6:R26)</x:f>
        <x:v>274198.6719897485</x:v>
      </x:c>
      <x:c r="V26" s="6" t="n">
        <x:f>'Assumptions'!$D$24*'Assumptions'!$D$25</x:f>
        <x:v>2400</x:v>
      </x:c>
      <x:c r="W26" s="6" t="n">
        <x:f>SUM(S$6:S26)-SUM(V$6:V26)-'Assumptions'!$D$27-'Assumptions'!$D$28-'Assumptions'!$D$26*'Assumptions'!$D$25</x:f>
        <x:v>215188.76899730123</x:v>
      </x:c>
    </x:row>
    <x:row r="27" ht="22" customHeight="1">
      <x:c r="A27" s="46" t="n">
        <x:f>22</x:f>
        <x:v>22</x:v>
      </x:c>
      <x:c r="B27" s="6" t="n">
        <x:f>B26*(1+'Assumptions'!$D$7)</x:f>
        <x:v>100676.67430714508</x:v>
      </x:c>
      <x:c r="C27" s="6" t="n">
        <x:f>SUM(B$6:B27)</x:f>
        <x:v>1109135.1031464576</x:v>
      </x:c>
      <x:c r="D27" s="6" t="n">
        <x:f>B27*'Retention'!D6+B26*'Retention'!D7+B25*'Retention'!D8+B24*'Retention'!D9+B23*'Retention'!D10+B22*'Retention'!D11+B21*'Retention'!D12+B20*'Retention'!D13+B19*'Retention'!D14+B18*'Retention'!D15+B17*'Retention'!D16+B16*'Retention'!D17+B15*'Retention'!D18+B14*'Retention'!D19+B13*'Retention'!D20+B12*'Retention'!D21+B11*'Retention'!D22+B10*'Retention'!D23+B9*'Retention'!D24+B8*'Retention'!D25+B7*'Retention'!D26+B6*'Retention'!D27</x:f>
        <x:v>309028.2374754198</x:v>
      </x:c>
      <x:c r="E27" s="6" t="n">
        <x:f>D27*'Assumptions'!$D$15</x:f>
        <x:v>77257.05936885496</x:v>
      </x:c>
      <x:c r="F27" s="6" t="n">
        <x:f>IF(A27&gt;'Assumptions'!$D$30,INDEX(B$6:B$29,A27-'Assumptions'!$D$30),0)*'Assumptions'!$D$8</x:f>
        <x:v>2796.574286309585</x:v>
      </x:c>
      <x:c r="G27" s="6" t="n">
        <x:f>IF(A27&gt;'Assumptions'!$D$30,INDEX(B$6:B$29,A27-'Assumptions'!$D$30),0)*'Assumptions'!$D$10</x:f>
        <x:v>3728.7657150794475</x:v>
      </x:c>
      <x:c r="H27" s="6" t="n">
        <x:f>F27*'Assumptions'!$D$9+G27*'Assumptions'!$D$11</x:f>
        <x:v>49340.89232478879</x:v>
      </x:c>
      <x:c r="I27" s="6" t="n">
        <x:f>H27-H27/(1+'Assumptions'!$D$12)</x:f>
        <x:v>8223.482054131462</x:v>
      </x:c>
      <x:c r="J27" s="6" t="n">
        <x:f>(H27-I27)*'Assumptions'!$D$13</x:f>
        <x:v>1233.5223081197198</x:v>
      </x:c>
      <x:c r="K27" s="6" t="n">
        <x:f>(H27-I27-J27)*'Assumptions'!$D$14</x:f>
        <x:v>5982.583194380641</x:v>
      </x:c>
      <x:c r="L27" s="6" t="n">
        <x:f>H27-SUM(I27:K27)</x:f>
        <x:v>33901.304768156966</x:v>
      </x:c>
      <x:c r="M27" s="6" t="n">
        <x:f>E27*'Assumptions'!$D$19*'Assumptions'!$D$17*'Assumptions'!$D$18/1000*'Assumptions'!$D$16</x:f>
        <x:v>0</x:v>
      </x:c>
      <x:c r="N27" s="6" t="n">
        <x:f>SUM(L27:M27)</x:f>
        <x:v>33901.304768156966</x:v>
      </x:c>
      <x:c r="O27" s="6" t="n">
        <x:f>'Assumptions'!$D$20+D27/1000*'Assumptions'!$D$21</x:f>
        <x:v>1486.1129499016793</x:v>
      </x:c>
      <x:c r="P27" s="6" t="n">
        <x:f>'Assumptions'!$D$22</x:f>
        <x:v>400</x:v>
      </x:c>
      <x:c r="Q27" s="6" t="n">
        <x:f>'Assumptions'!$D$23</x:f>
        <x:v>0</x:v>
      </x:c>
      <x:c r="R27" s="6" t="n">
        <x:f>SUM(O27:Q27)</x:f>
        <x:v>1886.1129499016793</x:v>
      </x:c>
      <x:c r="S27" s="6" t="n">
        <x:f>N27-R27</x:f>
        <x:v>32015.191818255287</x:v>
      </x:c>
      <x:c r="T27" s="6" t="n">
        <x:f>IF(A27&gt;'Assumptions'!$D$31,INDEX(N$6:N$29,A27-'Assumptions'!$D$31),0)</x:f>
        <x:v>31390.097007552744</x:v>
      </x:c>
      <x:c r="U27" s="6" t="n">
        <x:f>'Assumptions'!$D$29-'Assumptions'!$D$27-'Assumptions'!$D$28+SUM(T$6:T27)-SUM(R$6:R27)</x:f>
        <x:v>303702.65604739956</x:v>
      </x:c>
      <x:c r="V27" s="6" t="n">
        <x:f>'Assumptions'!$D$24*'Assumptions'!$D$25</x:f>
        <x:v>2400</x:v>
      </x:c>
      <x:c r="W27" s="6" t="n">
        <x:f>SUM(S$6:S27)-SUM(V$6:V27)-'Assumptions'!$D$27-'Assumptions'!$D$28-'Assumptions'!$D$26*'Assumptions'!$D$25</x:f>
        <x:v>244803.96081555652</x:v>
      </x:c>
    </x:row>
    <x:row r="28" ht="22" customHeight="1">
      <x:c r="A28" s="46" t="n">
        <x:f>23</x:f>
        <x:v>23</x:v>
      </x:c>
      <x:c r="B28" s="6" t="n">
        <x:f>B27*(1+'Assumptions'!$D$7)</x:f>
        <x:v>108730.80825171669</x:v>
      </x:c>
      <x:c r="C28" s="6" t="n">
        <x:f>SUM(B$6:B28)</x:f>
        <x:v>1217865.9113981742</x:v>
      </x:c>
      <x:c r="D28" s="6" t="n">
        <x:f>B28*'Retention'!D6+B27*'Retention'!D7+B26*'Retention'!D8+B25*'Retention'!D9+B24*'Retention'!D10+B23*'Retention'!D11+B22*'Retention'!D12+B21*'Retention'!D13+B20*'Retention'!D14+B19*'Retention'!D15+B18*'Retention'!D16+B17*'Retention'!D17+B16*'Retention'!D18+B15*'Retention'!D19+B14*'Retention'!D20+B13*'Retention'!D21+B12*'Retention'!D22+B11*'Retention'!D23+B10*'Retention'!D24+B9*'Retention'!D25+B8*'Retention'!D26+B7*'Retention'!D27+B6*'Retention'!D28</x:f>
        <x:v>336217.1924619871</x:v>
      </x:c>
      <x:c r="E28" s="6" t="n">
        <x:f>D28*'Assumptions'!$D$15</x:f>
        <x:v>84054.29811549677</x:v>
      </x:c>
      <x:c r="F28" s="6" t="n">
        <x:f>IF(A28&gt;'Assumptions'!$D$30,INDEX(B$6:B$29,A28-'Assumptions'!$D$30),0)*'Assumptions'!$D$8</x:f>
        <x:v>3020.3002292143524</x:v>
      </x:c>
      <x:c r="G28" s="6" t="n">
        <x:f>IF(A28&gt;'Assumptions'!$D$30,INDEX(B$6:B$29,A28-'Assumptions'!$D$30),0)*'Assumptions'!$D$10</x:f>
        <x:v>4027.0669722858033</x:v>
      </x:c>
      <x:c r="H28" s="6" t="n">
        <x:f>F28*'Assumptions'!$D$9+G28*'Assumptions'!$D$11</x:f>
        <x:v>53288.16371077189</x:v>
      </x:c>
      <x:c r="I28" s="6" t="n">
        <x:f>H28-H28/(1+'Assumptions'!$D$12)</x:f>
        <x:v>8881.360618461978</x:v>
      </x:c>
      <x:c r="J28" s="6" t="n">
        <x:f>(H28-I28)*'Assumptions'!$D$13</x:f>
        <x:v>1332.2040927692974</x:v>
      </x:c>
      <x:c r="K28" s="6" t="n">
        <x:f>(H28-I28-J28)*'Assumptions'!$D$14</x:f>
        <x:v>6461.189849931093</x:v>
      </x:c>
      <x:c r="L28" s="6" t="n">
        <x:f>H28-SUM(I28:K28)</x:f>
        <x:v>36613.40914960952</x:v>
      </x:c>
      <x:c r="M28" s="6" t="n">
        <x:f>E28*'Assumptions'!$D$19*'Assumptions'!$D$17*'Assumptions'!$D$18/1000*'Assumptions'!$D$16</x:f>
        <x:v>0</x:v>
      </x:c>
      <x:c r="N28" s="6" t="n">
        <x:f>SUM(L28:M28)</x:f>
        <x:v>36613.40914960952</x:v>
      </x:c>
      <x:c r="O28" s="6" t="n">
        <x:f>'Assumptions'!$D$20+D28/1000*'Assumptions'!$D$21</x:f>
        <x:v>1594.8687698479484</x:v>
      </x:c>
      <x:c r="P28" s="6" t="n">
        <x:f>'Assumptions'!$D$22</x:f>
        <x:v>400</x:v>
      </x:c>
      <x:c r="Q28" s="6" t="n">
        <x:f>'Assumptions'!$D$23</x:f>
        <x:v>0</x:v>
      </x:c>
      <x:c r="R28" s="6" t="n">
        <x:f>SUM(O28:Q28)</x:f>
        <x:v>1994.8687698479484</x:v>
      </x:c>
      <x:c r="S28" s="6" t="n">
        <x:f>N28-R28</x:f>
        <x:v>34618.54037976157</x:v>
      </x:c>
      <x:c r="T28" s="6" t="n">
        <x:f>IF(A28&gt;'Assumptions'!$D$31,INDEX(N$6:N$29,A28-'Assumptions'!$D$31),0)</x:f>
        <x:v>33901.304768156966</x:v>
      </x:c>
      <x:c r="U28" s="6" t="n">
        <x:f>'Assumptions'!$D$29-'Assumptions'!$D$27-'Assumptions'!$D$28+SUM(T$6:T28)-SUM(R$6:R28)</x:f>
        <x:v>335609.09204570856</x:v>
      </x:c>
      <x:c r="V28" s="6" t="n">
        <x:f>'Assumptions'!$D$24*'Assumptions'!$D$25</x:f>
        <x:v>2400</x:v>
      </x:c>
      <x:c r="W28" s="6" t="n">
        <x:f>SUM(S$6:S28)-SUM(V$6:V28)-'Assumptions'!$D$27-'Assumptions'!$D$28-'Assumptions'!$D$26*'Assumptions'!$D$25</x:f>
        <x:v>277022.50119531807</x:v>
      </x:c>
    </x:row>
    <x:row r="29" ht="22" customHeight="1">
      <x:c r="A29" s="46" t="n">
        <x:f>24</x:f>
        <x:v>24</x:v>
      </x:c>
      <x:c r="B29" s="6" t="n">
        <x:f>B28*(1+'Assumptions'!$D$7)</x:f>
        <x:v>117429.27291185403</x:v>
      </x:c>
      <x:c r="C29" s="6" t="n">
        <x:f>SUM(B$6:B29)</x:f>
        <x:v>1335295.1843100283</x:v>
      </x:c>
      <x:c r="D29" s="6" t="n">
        <x:f>B29*'Retention'!D6+B28*'Retention'!D7+B27*'Retention'!D8+B26*'Retention'!D9+B25*'Retention'!D10+B24*'Retention'!D11+B23*'Retention'!D12+B22*'Retention'!D13+B21*'Retention'!D14+B20*'Retention'!D15+B19*'Retention'!D16+B18*'Retention'!D17+B17*'Retention'!D18+B16*'Retention'!D19+B15*'Retention'!D20+B14*'Retention'!D21+B13*'Retention'!D22+B12*'Retention'!D23+B11*'Retention'!D24+B10*'Retention'!D25+B9*'Retention'!D26+B8*'Retention'!D27+B7*'Retention'!D28+B6*'Retention'!D29</x:f>
        <x:v>365507.2629678238</x:v>
      </x:c>
      <x:c r="E29" s="6" t="n">
        <x:f>D29*'Assumptions'!$D$15</x:f>
        <x:v>91376.81574195594</x:v>
      </x:c>
      <x:c r="F29" s="6" t="n">
        <x:f>IF(A29&gt;'Assumptions'!$D$30,INDEX(B$6:B$29,A29-'Assumptions'!$D$30),0)*'Assumptions'!$D$8</x:f>
        <x:v>3261.9242475515007</x:v>
      </x:c>
      <x:c r="G29" s="6" t="n">
        <x:f>IF(A29&gt;'Assumptions'!$D$30,INDEX(B$6:B$29,A29-'Assumptions'!$D$30),0)*'Assumptions'!$D$10</x:f>
        <x:v>4349.232330068668</x:v>
      </x:c>
      <x:c r="H29" s="6" t="n">
        <x:f>F29*'Assumptions'!$D$9+G29*'Assumptions'!$D$11</x:f>
        <x:v>57551.216807633646</x:v>
      </x:c>
      <x:c r="I29" s="6" t="n">
        <x:f>H29-H29/(1+'Assumptions'!$D$12)</x:f>
        <x:v>9591.869467938937</x:v>
      </x:c>
      <x:c r="J29" s="6" t="n">
        <x:f>(H29-I29)*'Assumptions'!$D$13</x:f>
        <x:v>1438.7804201908411</x:v>
      </x:c>
      <x:c r="K29" s="6" t="n">
        <x:f>(H29-I29-J29)*'Assumptions'!$D$14</x:f>
        <x:v>6978.08503792558</x:v>
      </x:c>
      <x:c r="L29" s="6" t="n">
        <x:f>H29-SUM(I29:K29)</x:f>
        <x:v>39542.48188157829</x:v>
      </x:c>
      <x:c r="M29" s="6" t="n">
        <x:f>E29*'Assumptions'!$D$19*'Assumptions'!$D$17*'Assumptions'!$D$18/1000*'Assumptions'!$D$16</x:f>
        <x:v>0</x:v>
      </x:c>
      <x:c r="N29" s="6" t="n">
        <x:f>SUM(L29:M29)</x:f>
        <x:v>39542.48188157829</x:v>
      </x:c>
      <x:c r="O29" s="6" t="n">
        <x:f>'Assumptions'!$D$20+D29/1000*'Assumptions'!$D$21</x:f>
        <x:v>1712.029051871295</x:v>
      </x:c>
      <x:c r="P29" s="6" t="n">
        <x:f>'Assumptions'!$D$22</x:f>
        <x:v>400</x:v>
      </x:c>
      <x:c r="Q29" s="6" t="n">
        <x:f>'Assumptions'!$D$23</x:f>
        <x:v>0</x:v>
      </x:c>
      <x:c r="R29" s="6" t="n">
        <x:f>SUM(O29:Q29)</x:f>
        <x:v>2112.029051871295</x:v>
      </x:c>
      <x:c r="S29" s="6" t="n">
        <x:f>N29-R29</x:f>
        <x:v>37430.452829707</x:v>
      </x:c>
      <x:c r="T29" s="6" t="n">
        <x:f>IF(A29&gt;'Assumptions'!$D$31,INDEX(N$6:N$29,A29-'Assumptions'!$D$31),0)</x:f>
        <x:v>36613.40914960952</x:v>
      </x:c>
      <x:c r="U29" s="6" t="n">
        <x:f>'Assumptions'!$D$29-'Assumptions'!$D$27-'Assumptions'!$D$28+SUM(T$6:T29)-SUM(R$6:R29)</x:f>
        <x:v>370110.4721434468</x:v>
      </x:c>
      <x:c r="V29" s="6" t="n">
        <x:f>'Assumptions'!$D$24*'Assumptions'!$D$25</x:f>
        <x:v>2400</x:v>
      </x:c>
      <x:c r="W29" s="6" t="n">
        <x:f>SUM(S$6:S29)-SUM(V$6:V29)-'Assumptions'!$D$27-'Assumptions'!$D$28-'Assumptions'!$D$26*'Assumptions'!$D$25</x:f>
        <x:v>312052.9540250251</x:v>
      </x:c>
    </x:row>
    <x:row r="30" ht="22" customHeight="1">
      <x:c r="A30" s="6"/>
      <x:c r="B30" s="6"/>
      <x:c r="C30" s="6"/>
      <x:c r="D30" s="6"/>
      <x:c r="E30" s="6"/>
      <x:c r="F30" s="6"/>
      <x:c r="G30" s="6"/>
      <x:c r="H30" s="6"/>
      <x:c r="I30" s="6"/>
      <x:c r="J30" s="6"/>
      <x:c r="K30" s="6"/>
      <x:c r="L30" s="6"/>
      <x:c r="M30" s="6"/>
      <x:c r="N30" s="6"/>
      <x:c r="O30" s="6"/>
      <x:c r="P30" s="6"/>
      <x:c r="Q30" s="6"/>
      <x:c r="R30" s="6"/>
      <x:c r="S30" s="6"/>
      <x:c r="T30" s="6"/>
      <x:c r="U30" s="6"/>
      <x:c r="V30" s="6"/>
      <x:c r="W30" s="6"/>
    </x:row>
    <x:row r="31" ht="22" customHeight="1">
      <x:c r="A31" s="6"/>
      <x:c r="B31" s="6"/>
      <x:c r="C31" s="6"/>
      <x:c r="D31" s="6"/>
      <x:c r="E31" s="6"/>
      <x:c r="F31" s="6"/>
      <x:c r="G31" s="6"/>
      <x:c r="H31" s="6"/>
      <x:c r="I31" s="6"/>
      <x:c r="J31" s="6"/>
      <x:c r="K31" s="6"/>
      <x:c r="L31" s="6"/>
      <x:c r="M31" s="6"/>
      <x:c r="N31" s="6"/>
      <x:c r="O31" s="6"/>
      <x:c r="P31" s="6"/>
      <x:c r="Q31" s="6"/>
      <x:c r="R31" s="6"/>
      <x:c r="S31" s="6"/>
      <x:c r="T31" s="6"/>
      <x:c r="U31" s="6"/>
      <x:c r="V31" s="6"/>
      <x:c r="W31" s="6"/>
    </x:row>
    <x:row r="32" ht="22" customHeight="1">
      <x:c r="A32" s="44" t="str">
        <x:v>24-MONTH SUMMARY</x:v>
      </x:c>
      <x:c r="B32" s="44"/>
      <x:c r="C32" s="6"/>
      <x:c r="D32" s="6"/>
      <x:c r="E32" s="6"/>
      <x:c r="F32" s="6"/>
      <x:c r="G32" s="6"/>
      <x:c r="H32" s="6"/>
      <x:c r="I32" s="6"/>
      <x:c r="J32" s="6"/>
      <x:c r="K32" s="6"/>
      <x:c r="L32" s="6"/>
      <x:c r="M32" s="6"/>
      <x:c r="N32" s="6"/>
      <x:c r="O32" s="6"/>
      <x:c r="P32" s="6"/>
      <x:c r="Q32" s="6"/>
      <x:c r="R32" s="6"/>
      <x:c r="S32" s="6"/>
      <x:c r="T32" s="6"/>
      <x:c r="U32" s="6"/>
      <x:c r="V32" s="6"/>
      <x:c r="W32" s="6"/>
    </x:row>
    <x:row r="33" ht="22" customHeight="1">
      <x:c r="A33" s="6" t="str">
        <x:v>Installs</x:v>
      </x:c>
      <x:c r="B33" s="6" t="n">
        <x:f>SUM(B6:B29)</x:f>
        <x:v>1335295.1843100283</x:v>
      </x:c>
      <x:c r="C33" s="6"/>
      <x:c r="D33" s="6"/>
      <x:c r="E33" s="6"/>
      <x:c r="F33" s="6"/>
      <x:c r="G33" s="6"/>
      <x:c r="H33" s="6"/>
      <x:c r="I33" s="6"/>
      <x:c r="J33" s="6"/>
      <x:c r="K33" s="6"/>
      <x:c r="L33" s="6"/>
      <x:c r="M33" s="6"/>
      <x:c r="N33" s="6"/>
      <x:c r="O33" s="6"/>
      <x:c r="P33" s="6"/>
      <x:c r="Q33" s="6"/>
      <x:c r="R33" s="6"/>
      <x:c r="S33" s="6"/>
      <x:c r="T33" s="6"/>
      <x:c r="U33" s="6"/>
      <x:c r="V33" s="6"/>
      <x:c r="W33" s="6"/>
    </x:row>
    <x:row r="34" ht="22" customHeight="1">
      <x:c r="A34" s="6" t="str">
        <x:v>Gross consumer purchases</x:v>
      </x:c>
      <x:c r="B34" s="6" t="n">
        <x:f>SUM(H6:H29)</x:f>
        <x:v>644616.4269030538</x:v>
      </x:c>
      <x:c r="C34" s="6"/>
      <x:c r="D34" s="6"/>
      <x:c r="E34" s="6"/>
      <x:c r="F34" s="6"/>
      <x:c r="G34" s="6"/>
      <x:c r="H34" s="6"/>
      <x:c r="I34" s="6"/>
      <x:c r="J34" s="6"/>
      <x:c r="K34" s="6"/>
      <x:c r="L34" s="6"/>
      <x:c r="M34" s="6"/>
      <x:c r="N34" s="6"/>
      <x:c r="O34" s="6"/>
      <x:c r="P34" s="6"/>
      <x:c r="Q34" s="6"/>
      <x:c r="R34" s="6"/>
      <x:c r="S34" s="6"/>
      <x:c r="T34" s="6"/>
      <x:c r="U34" s="6"/>
      <x:c r="V34" s="6"/>
      <x:c r="W34" s="6"/>
    </x:row>
    <x:row r="35" ht="22" customHeight="1">
      <x:c r="A35" s="6" t="str">
        <x:v>Net developer revenue</x:v>
      </x:c>
      <x:c r="B35" s="6" t="n">
        <x:f>SUM(N6:N29)</x:f>
        <x:v>442905.2033179731</x:v>
      </x:c>
      <x:c r="C35" s="6"/>
      <x:c r="D35" s="6"/>
      <x:c r="E35" s="6"/>
      <x:c r="F35" s="6"/>
      <x:c r="G35" s="6"/>
      <x:c r="H35" s="6"/>
      <x:c r="I35" s="6"/>
      <x:c r="J35" s="6"/>
      <x:c r="K35" s="6"/>
      <x:c r="L35" s="6"/>
      <x:c r="M35" s="6"/>
      <x:c r="N35" s="6"/>
      <x:c r="O35" s="6"/>
      <x:c r="P35" s="6"/>
      <x:c r="Q35" s="6"/>
      <x:c r="R35" s="6"/>
      <x:c r="S35" s="6"/>
      <x:c r="T35" s="6"/>
      <x:c r="U35" s="6"/>
      <x:c r="V35" s="6"/>
      <x:c r="W35" s="6"/>
    </x:row>
    <x:row r="36" ht="22" customHeight="1">
      <x:c r="A36" s="6" t="str">
        <x:v>Cash operating costs</x:v>
      </x:c>
      <x:c r="B36" s="6" t="n">
        <x:f>SUM(R6:R29)</x:f>
        <x:v>30222.24929294807</x:v>
      </x:c>
      <x:c r="C36" s="6"/>
      <x:c r="D36" s="6"/>
      <x:c r="E36" s="6"/>
      <x:c r="F36" s="6"/>
      <x:c r="G36" s="6"/>
      <x:c r="H36" s="6"/>
      <x:c r="I36" s="6"/>
      <x:c r="J36" s="6"/>
      <x:c r="K36" s="6"/>
      <x:c r="L36" s="6"/>
      <x:c r="M36" s="6"/>
      <x:c r="N36" s="6"/>
      <x:c r="O36" s="6"/>
      <x:c r="P36" s="6"/>
      <x:c r="Q36" s="6"/>
      <x:c r="R36" s="6"/>
      <x:c r="S36" s="6"/>
      <x:c r="T36" s="6"/>
      <x:c r="U36" s="6"/>
      <x:c r="V36" s="6"/>
      <x:c r="W36" s="6"/>
    </x:row>
    <x:row r="37" ht="22" customHeight="1">
      <x:c r="A37" s="6" t="str">
        <x:v>Operating contribution</x:v>
      </x:c>
      <x:c r="B37" s="6" t="n">
        <x:f>SUM(S6:S29)</x:f>
        <x:v>412682.9540250251</x:v>
      </x:c>
      <x:c r="C37" s="6"/>
      <x:c r="D37" s="6"/>
      <x:c r="E37" s="6"/>
      <x:c r="F37" s="6"/>
      <x:c r="G37" s="6"/>
      <x:c r="H37" s="6"/>
      <x:c r="I37" s="6"/>
      <x:c r="J37" s="6"/>
      <x:c r="K37" s="6"/>
      <x:c r="L37" s="6"/>
      <x:c r="M37" s="6"/>
      <x:c r="N37" s="6"/>
      <x:c r="O37" s="6"/>
      <x:c r="P37" s="6"/>
      <x:c r="Q37" s="6"/>
      <x:c r="R37" s="6"/>
      <x:c r="S37" s="6"/>
      <x:c r="T37" s="6"/>
      <x:c r="U37" s="6"/>
      <x:c r="V37" s="6"/>
      <x:c r="W37" s="6"/>
    </x:row>
    <x:row r="38" ht="22" customHeight="1">
      <x:c r="A38" s="6" t="str">
        <x:v>Prelaunch cash + registration</x:v>
      </x:c>
      <x:c r="B38" s="6" t="n">
        <x:f>'Assumptions'!$D$27+'Assumptions'!$D$28</x:f>
        <x:v>3030</x:v>
      </x:c>
      <x:c r="C38" s="6"/>
      <x:c r="D38" s="6"/>
      <x:c r="E38" s="6"/>
      <x:c r="F38" s="6"/>
      <x:c r="G38" s="6"/>
      <x:c r="H38" s="6"/>
      <x:c r="I38" s="6"/>
      <x:c r="J38" s="6"/>
      <x:c r="K38" s="6"/>
      <x:c r="L38" s="6"/>
      <x:c r="M38" s="6"/>
      <x:c r="N38" s="6"/>
      <x:c r="O38" s="6"/>
      <x:c r="P38" s="6"/>
      <x:c r="Q38" s="6"/>
      <x:c r="R38" s="6"/>
      <x:c r="S38" s="6"/>
      <x:c r="T38" s="6"/>
      <x:c r="U38" s="6"/>
      <x:c r="V38" s="6"/>
      <x:c r="W38" s="6"/>
    </x:row>
    <x:row r="39" ht="22" customHeight="1">
      <x:c r="A39" s="6" t="str">
        <x:v>Result before founder time (accrual)</x:v>
      </x:c>
      <x:c r="B39" s="50" t="n">
        <x:f>B37-B38</x:f>
        <x:v>409652.9540250251</x:v>
      </x:c>
      <x:c r="C39" s="6"/>
      <x:c r="D39" s="6"/>
      <x:c r="E39" s="6"/>
      <x:c r="F39" s="6"/>
      <x:c r="G39" s="6"/>
      <x:c r="H39" s="6"/>
      <x:c r="I39" s="6"/>
      <x:c r="J39" s="6"/>
      <x:c r="K39" s="6"/>
      <x:c r="L39" s="6"/>
      <x:c r="M39" s="6"/>
      <x:c r="N39" s="6"/>
      <x:c r="O39" s="6"/>
      <x:c r="P39" s="6"/>
      <x:c r="Q39" s="6"/>
      <x:c r="R39" s="6"/>
      <x:c r="S39" s="6"/>
      <x:c r="T39" s="6"/>
      <x:c r="U39" s="6"/>
      <x:c r="V39" s="6"/>
      <x:c r="W39" s="6"/>
    </x:row>
    <x:row r="40" ht="22" customHeight="1">
      <x:c r="A40" s="6" t="str">
        <x:v>Cash collected</x:v>
      </x:c>
      <x:c r="B40" s="6" t="n">
        <x:f>SUM(T6:T29)</x:f>
        <x:v>403362.72143639484</x:v>
      </x:c>
      <x:c r="C40" s="6"/>
      <x:c r="D40" s="6"/>
      <x:c r="E40" s="6"/>
      <x:c r="F40" s="6"/>
      <x:c r="G40" s="6"/>
      <x:c r="H40" s="6"/>
      <x:c r="I40" s="6"/>
      <x:c r="J40" s="6"/>
      <x:c r="K40" s="6"/>
      <x:c r="L40" s="6"/>
      <x:c r="M40" s="6"/>
      <x:c r="N40" s="6"/>
      <x:c r="O40" s="6"/>
      <x:c r="P40" s="6"/>
      <x:c r="Q40" s="6"/>
      <x:c r="R40" s="6"/>
      <x:c r="S40" s="6"/>
      <x:c r="T40" s="6"/>
      <x:c r="U40" s="6"/>
      <x:c r="V40" s="6"/>
      <x:c r="W40" s="6"/>
    </x:row>
    <x:row r="41" ht="22" customHeight="1">
      <x:c r="A41" s="6" t="str">
        <x:v>Cash balance at month 24</x:v>
      </x:c>
      <x:c r="B41" s="6" t="n">
        <x:f>U29</x:f>
        <x:v>370110.4721434468</x:v>
      </x:c>
      <x:c r="C41" s="6"/>
      <x:c r="D41" s="6"/>
      <x:c r="E41" s="6"/>
      <x:c r="F41" s="6"/>
      <x:c r="G41" s="6"/>
      <x:c r="H41" s="6"/>
      <x:c r="I41" s="6"/>
      <x:c r="J41" s="6"/>
      <x:c r="K41" s="6"/>
      <x:c r="L41" s="6"/>
      <x:c r="M41" s="6"/>
      <x:c r="N41" s="6"/>
      <x:c r="O41" s="6"/>
      <x:c r="P41" s="6"/>
      <x:c r="Q41" s="6"/>
      <x:c r="R41" s="6"/>
      <x:c r="S41" s="6"/>
      <x:c r="T41" s="6"/>
      <x:c r="U41" s="6"/>
      <x:c r="V41" s="6"/>
      <x:c r="W41" s="6"/>
    </x:row>
    <x:row r="42" ht="22" customHeight="1">
      <x:c r="A42" s="6" t="str">
        <x:v>Uncollected revenue at month 24</x:v>
      </x:c>
      <x:c r="B42" s="6" t="n">
        <x:f>SUM(N6:N29)-SUM(T6:T29)</x:f>
        <x:v>39542.48188157828</x:v>
      </x:c>
      <x:c r="C42" s="6"/>
      <x:c r="D42" s="6"/>
      <x:c r="E42" s="6"/>
      <x:c r="F42" s="6"/>
      <x:c r="G42" s="6"/>
      <x:c r="H42" s="6"/>
      <x:c r="I42" s="6"/>
      <x:c r="J42" s="6"/>
      <x:c r="K42" s="6"/>
      <x:c r="L42" s="6"/>
      <x:c r="M42" s="6"/>
      <x:c r="N42" s="6"/>
      <x:c r="O42" s="6"/>
      <x:c r="P42" s="6"/>
      <x:c r="Q42" s="6"/>
      <x:c r="R42" s="6"/>
      <x:c r="S42" s="6"/>
      <x:c r="T42" s="6"/>
      <x:c r="U42" s="6"/>
      <x:c r="V42" s="6"/>
      <x:c r="W42" s="6"/>
    </x:row>
    <x:row r="43" ht="22" customHeight="1">
      <x:c r="A43" s="6" t="str">
        <x:v>Peak funding required</x:v>
      </x:c>
      <x:c r="B43" s="6" t="n">
        <x:f>MAX(0,-MIN(U6:U29),'Assumptions'!$D$27+'Assumptions'!$D$28-'Assumptions'!$D$29)</x:f>
        <x:v>4520.08</x:v>
      </x:c>
      <x:c r="C43" s="6"/>
      <x:c r="D43" s="6"/>
      <x:c r="E43" s="6"/>
      <x:c r="F43" s="6"/>
      <x:c r="G43" s="6"/>
      <x:c r="H43" s="6"/>
      <x:c r="I43" s="6"/>
      <x:c r="J43" s="6"/>
      <x:c r="K43" s="6"/>
      <x:c r="L43" s="6"/>
      <x:c r="M43" s="6"/>
      <x:c r="N43" s="6"/>
      <x:c r="O43" s="6"/>
      <x:c r="P43" s="6"/>
      <x:c r="Q43" s="6"/>
      <x:c r="R43" s="6"/>
      <x:c r="S43" s="6"/>
      <x:c r="T43" s="6"/>
      <x:c r="U43" s="6"/>
      <x:c r="V43" s="6"/>
      <x:c r="W43" s="6"/>
    </x:row>
    <x:row r="44" ht="22" customHeight="1">
      <x:c r="A44" s="6" t="str">
        <x:v>Founder development + operations value</x:v>
      </x:c>
      <x:c r="B44" s="6" t="n">
        <x:f>'Assumptions'!$D$26*'Assumptions'!$D$25+SUM(V6:V29)</x:f>
        <x:v>97600</x:v>
      </x:c>
      <x:c r="C44" s="6"/>
      <x:c r="D44" s="6"/>
      <x:c r="E44" s="6"/>
      <x:c r="F44" s="6"/>
      <x:c r="G44" s="6"/>
      <x:c r="H44" s="6"/>
      <x:c r="I44" s="6"/>
      <x:c r="J44" s="6"/>
      <x:c r="K44" s="6"/>
      <x:c r="L44" s="6"/>
      <x:c r="M44" s="6"/>
      <x:c r="N44" s="6"/>
      <x:c r="O44" s="6"/>
      <x:c r="P44" s="6"/>
      <x:c r="Q44" s="6"/>
      <x:c r="R44" s="6"/>
      <x:c r="S44" s="6"/>
      <x:c r="T44" s="6"/>
      <x:c r="U44" s="6"/>
      <x:c r="V44" s="6"/>
      <x:c r="W44" s="6"/>
    </x:row>
    <x:row r="45" ht="22" customHeight="1">
      <x:c r="A45" s="6" t="str">
        <x:v>Economic result after founder time</x:v>
      </x:c>
      <x:c r="B45" s="6" t="n">
        <x:f>B39-B44</x:f>
        <x:v>312052.9540250251</x:v>
      </x:c>
      <x:c r="C45" s="6"/>
      <x:c r="D45" s="6"/>
      <x:c r="E45" s="6"/>
      <x:c r="F45" s="6"/>
      <x:c r="G45" s="6"/>
      <x:c r="H45" s="6"/>
      <x:c r="I45" s="6"/>
      <x:c r="J45" s="6"/>
      <x:c r="K45" s="6"/>
      <x:c r="L45" s="6"/>
      <x:c r="M45" s="6"/>
      <x:c r="N45" s="6"/>
      <x:c r="O45" s="6"/>
      <x:c r="P45" s="6"/>
      <x:c r="Q45" s="6"/>
      <x:c r="R45" s="6"/>
      <x:c r="S45" s="6"/>
      <x:c r="T45" s="6"/>
      <x:c r="U45" s="6"/>
      <x:c r="V45" s="6"/>
      <x:c r="W45" s="6"/>
    </x:row>
    <x:row r="46" ht="22" customHeight="1">
      <x:c r="A46" s="6" t="str">
        <x:v>Net IAP / monetized-cohort install</x:v>
      </x:c>
      <x:c r="B46" s="48" t="n">
        <x:f>('Assumptions'!$D$8*'Assumptions'!$D$9+'Assumptions'!$D$10*'Assumptions'!$D$11)/(1+'Assumptions'!$D$12)*(1-'Assumptions'!$D$13)*(1-'Assumptions'!$D$14)</x:f>
        <x:v>0.3636732083333333</x:v>
      </x:c>
      <x:c r="C46" s="6"/>
      <x:c r="D46" s="6"/>
      <x:c r="E46" s="6"/>
      <x:c r="F46" s="6"/>
      <x:c r="G46" s="6"/>
      <x:c r="H46" s="6"/>
      <x:c r="I46" s="6"/>
      <x:c r="J46" s="6"/>
      <x:c r="K46" s="6"/>
      <x:c r="L46" s="6"/>
      <x:c r="M46" s="6"/>
      <x:c r="N46" s="6"/>
      <x:c r="O46" s="6"/>
      <x:c r="P46" s="6"/>
      <x:c r="Q46" s="6"/>
      <x:c r="R46" s="6"/>
      <x:c r="S46" s="6"/>
      <x:c r="T46" s="6"/>
      <x:c r="U46" s="6"/>
      <x:c r="V46" s="6"/>
      <x:c r="W46" s="6"/>
    </x:row>
  </x:sheetData>
  <x:mergeCells>
    <x:mergeCell ref="A1:W1"/>
    <x:mergeCell ref="A2:W3"/>
  </x:mergeCells>
  <x:conditionalFormatting sqref="U6:U29">
    <x:cfRule type="cellIs" dxfId="2" priority="1" operator="lessThan">
      <x:formula>0</x:formula>
    </x:cfRule>
  </x:conditionalFormatting>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39" hidden="0" customWidth="1"/>
    <x:col min="2" max="2" width="21" hidden="0" customWidth="1"/>
    <x:col min="3" max="3" width="21" hidden="0" customWidth="1"/>
    <x:col min="4" max="4" width="21" hidden="0" customWidth="1"/>
    <x:col min="5" max="5" width="16" hidden="0" customWidth="1"/>
    <x:col min="6" max="6" width="19" hidden="0" customWidth="1"/>
    <x:col min="7" max="7" width="19" hidden="0" customWidth="1"/>
    <x:col min="8" max="8" width="19" hidden="0" customWidth="1"/>
  </x:cols>
  <x:sheetData>
    <x:row r="1" ht="22" customHeight="1">
      <x:c r="A1" s="12" t="str">
        <x:v>24-month commercial scenarios</x:v>
      </x:c>
      <x:c r="B1" s="12"/>
      <x:c r="C1" s="12"/>
      <x:c r="D1" s="12"/>
      <x:c r="E1" s="6"/>
      <x:c r="F1" s="6"/>
      <x:c r="G1" s="6"/>
      <x:c r="H1" s="6"/>
    </x:row>
    <x:row r="2" ht="22" customHeight="1">
      <x:c r="A2" s="14"/>
      <x:c r="B2" s="14"/>
      <x:c r="C2" s="14"/>
      <x:c r="D2" s="14"/>
      <x:c r="E2" s="6"/>
      <x:c r="F2" s="6"/>
      <x:c r="G2" s="6"/>
      <x:c r="H2" s="6"/>
    </x:row>
    <x:row r="3" ht="22" customHeight="1">
      <x:c r="A3" s="15" t="str">
        <x:v>EUR · assumptions, not forecasts · baseline: no ads / no paid acquisition</x:v>
      </x:c>
      <x:c r="B3" s="15"/>
      <x:c r="C3" s="15"/>
      <x:c r="D3" s="15"/>
      <x:c r="E3" s="6"/>
      <x:c r="F3" s="6"/>
      <x:c r="G3" s="6"/>
      <x:c r="H3" s="6"/>
    </x:row>
    <x:row r="4" ht="22" customHeight="1">
      <x:c r="A4" s="6"/>
      <x:c r="B4" s="6"/>
      <x:c r="C4" s="6"/>
      <x:c r="D4" s="6"/>
      <x:c r="E4" s="6"/>
      <x:c r="F4" s="6"/>
      <x:c r="G4" s="6"/>
      <x:c r="H4" s="6"/>
    </x:row>
    <x:row r="5" ht="35" customHeight="1">
      <x:c r="A5" s="20" t="str">
        <x:v>METRIC</x:v>
      </x:c>
      <x:c r="B5" s="20" t="str">
        <x:v>LOW</x:v>
      </x:c>
      <x:c r="C5" s="20" t="str">
        <x:v>BASE</x:v>
      </x:c>
      <x:c r="D5" s="20" t="str">
        <x:v>STRONG</x:v>
      </x:c>
      <x:c r="E5" s="6"/>
      <x:c r="F5" s="6" t="str">
        <x:v>MONTH</x:v>
      </x:c>
      <x:c r="G5" s="6" t="str">
        <x:v>BASE NET REVENUE</x:v>
      </x:c>
      <x:c r="H5" s="6" t="str">
        <x:v>BASE CASH OPEX</x:v>
      </x:c>
    </x:row>
    <x:row r="6" ht="31" customHeight="1">
      <x:c r="A6" s="15" t="str">
        <x:v>Installs</x:v>
      </x:c>
      <x:c r="B6" s="52" t="n">
        <x:f>'Low case'!B33</x:f>
        <x:v>7605.465618440319</x:v>
      </x:c>
      <x:c r="C6" s="52" t="n">
        <x:f>'Base case'!B33</x:f>
        <x:v>89003.99774854803</x:v>
      </x:c>
      <x:c r="D6" s="52" t="n">
        <x:f>'Strong case'!B33</x:f>
        <x:v>1335295.1843100283</x:v>
      </x:c>
      <x:c r="E6" s="6"/>
      <x:c r="F6" s="6" t="n">
        <x:f>'Base case'!A6</x:f>
        <x:v>1</x:v>
      </x:c>
      <x:c r="G6" s="6" t="n">
        <x:f>'Base case'!N6</x:f>
        <x:v>0</x:v>
      </x:c>
      <x:c r="H6" s="6" t="n">
        <x:f>'Base case'!R6</x:f>
        <x:v>135.4</x:v>
      </x:c>
    </x:row>
    <x:row r="7" ht="31" customHeight="1">
      <x:c r="A7" s="15" t="str">
        <x:v>Gross consumer purchases</x:v>
      </x:c>
      <x:c r="B7" s="52" t="n">
        <x:f>'Low case'!B34</x:f>
        <x:v>345.4905468426233</x:v>
      </x:c>
      <x:c r="C7" s="52" t="n">
        <x:f>'Base case'!B34</x:f>
        <x:v>16957.493465943196</x:v>
      </x:c>
      <x:c r="D7" s="52" t="n">
        <x:f>'Strong case'!B34</x:f>
        <x:v>644616.4269030538</x:v>
      </x:c>
      <x:c r="E7" s="6"/>
      <x:c r="F7" s="6" t="n">
        <x:f>'Base case'!A7</x:f>
        <x:v>2</x:v>
      </x:c>
      <x:c r="G7" s="6" t="n">
        <x:f>'Base case'!N7</x:f>
        <x:v>281.22320833333345</x:v>
      </x:c>
      <x:c r="H7" s="6" t="n">
        <x:f>'Base case'!R7</x:f>
        <x:v>137.17000000000002</x:v>
      </x:c>
    </x:row>
    <x:row r="8" ht="31" customHeight="1">
      <x:c r="A8" s="15" t="str">
        <x:v>Net developer revenue</x:v>
      </x:c>
      <x:c r="B8" s="52" t="n">
        <x:f>'Low case'!B35</x:f>
        <x:v>237.38079655978578</x:v>
      </x:c>
      <x:c r="C8" s="52" t="n">
        <x:f>'Base case'!B35</x:f>
        <x:v>11651.211135558475</x:v>
      </x:c>
      <x:c r="D8" s="52" t="n">
        <x:f>'Strong case'!B35</x:f>
        <x:v>442905.2033179731</x:v>
      </x:c>
      <x:c r="E8" s="6"/>
      <x:c r="F8" s="6" t="n">
        <x:f>'Base case'!A8</x:f>
        <x:v>3</x:v>
      </x:c>
      <x:c r="G8" s="6" t="n">
        <x:f>'Base case'!N8</x:f>
        <x:v>295.28436875</x:v>
      </x:c>
      <x:c r="H8" s="6" t="n">
        <x:f>'Base case'!R8</x:f>
        <x:v>138.6085</x:v>
      </x:c>
    </x:row>
    <x:row r="9" ht="31" customHeight="1">
      <x:c r="A9" s="15" t="str">
        <x:v>Cash operating costs</x:v>
      </x:c>
      <x:c r="B9" s="52" t="n">
        <x:f>'Low case'!B36</x:f>
        <x:v>1220.6696824134276</x:v>
      </x:c>
      <x:c r="C9" s="52" t="n">
        <x:f>'Base case'!B36</x:f>
        <x:v>3653.5537419490515</x:v>
      </x:c>
      <x:c r="D9" s="52" t="n">
        <x:f>'Strong case'!B36</x:f>
        <x:v>30222.24929294807</x:v>
      </x:c>
      <x:c r="E9" s="6"/>
      <x:c r="F9" s="6" t="n">
        <x:f>'Base case'!A9</x:f>
        <x:v>4</x:v>
      </x:c>
      <x:c r="G9" s="6" t="n">
        <x:f>'Base case'!N9</x:f>
        <x:v>310.0485871875</x:v>
      </x:c>
      <x:c r="H9" s="6" t="n">
        <x:f>'Base case'!R9</x:f>
        <x:v>139.758925</x:v>
      </x:c>
    </x:row>
    <x:row r="10" ht="31" customHeight="1">
      <x:c r="A10" s="15" t="str">
        <x:v>Operating contribution</x:v>
      </x:c>
      <x:c r="B10" s="52" t="n">
        <x:f>'Low case'!B37</x:f>
        <x:v>-983.2888858536417</x:v>
      </x:c>
      <x:c r="C10" s="52" t="n">
        <x:f>'Base case'!B37</x:f>
        <x:v>7997.657393609421</x:v>
      </x:c>
      <x:c r="D10" s="52" t="n">
        <x:f>'Strong case'!B37</x:f>
        <x:v>412682.9540250251</x:v>
      </x:c>
      <x:c r="E10" s="6"/>
      <x:c r="F10" s="6" t="n">
        <x:f>'Base case'!A10</x:f>
        <x:v>5</x:v>
      </x:c>
      <x:c r="G10" s="6" t="n">
        <x:f>'Base case'!N10</x:f>
        <x:v>325.551016546875</x:v>
      </x:c>
      <x:c r="H10" s="6" t="n">
        <x:f>'Base case'!R10</x:f>
        <x:v>140.93807125</x:v>
      </x:c>
    </x:row>
    <x:row r="11" ht="31" customHeight="1">
      <x:c r="A11" s="15" t="str">
        <x:v>Prelaunch cash + registration</x:v>
      </x:c>
      <x:c r="B11" s="52" t="n">
        <x:f>'Low case'!B38</x:f>
        <x:v>30</x:v>
      </x:c>
      <x:c r="C11" s="52" t="n">
        <x:f>'Base case'!B38</x:f>
        <x:v>530</x:v>
      </x:c>
      <x:c r="D11" s="52" t="n">
        <x:f>'Strong case'!B38</x:f>
        <x:v>3030</x:v>
      </x:c>
      <x:c r="E11" s="6"/>
      <x:c r="F11" s="6" t="n">
        <x:f>'Base case'!A11</x:f>
        <x:v>6</x:v>
      </x:c>
      <x:c r="G11" s="6" t="n">
        <x:f>'Base case'!N11</x:f>
        <x:v>341.8285673742188</x:v>
      </x:c>
      <x:c r="H11" s="6" t="n">
        <x:f>'Base case'!R11</x:f>
        <x:v>142.1485268125</x:v>
      </x:c>
    </x:row>
    <x:row r="12" ht="31" customHeight="1">
      <x:c r="A12" s="24" t="str">
        <x:v>Result before founder time</x:v>
      </x:c>
      <x:c r="B12" s="58" t="n">
        <x:f>'Low case'!B39</x:f>
        <x:v>-1013.2888858536417</x:v>
      </x:c>
      <x:c r="C12" s="58" t="n">
        <x:f>'Base case'!B39</x:f>
        <x:v>7467.657393609421</x:v>
      </x:c>
      <x:c r="D12" s="58" t="n">
        <x:f>'Strong case'!B39</x:f>
        <x:v>409652.9540250251</x:v>
      </x:c>
      <x:c r="E12" s="6"/>
      <x:c r="F12" s="6" t="n">
        <x:f>'Base case'!A12</x:f>
        <x:v>7</x:v>
      </x:c>
      <x:c r="G12" s="6" t="n">
        <x:f>'Base case'!N12</x:f>
        <x:v>358.9199957429298</x:v>
      </x:c>
      <x:c r="H12" s="6" t="n">
        <x:f>'Base case'!R12</x:f>
        <x:v>143.392963073125</x:v>
      </x:c>
    </x:row>
    <x:row r="13" ht="31" customHeight="1">
      <x:c r="A13" s="15" t="str">
        <x:v>Cash balance at month 24</x:v>
      </x:c>
      <x:c r="B13" s="52" t="n">
        <x:f>'Low case'!B41</x:f>
        <x:v>-1026.0115883597161</x:v>
      </x:c>
      <x:c r="C13" s="52" t="n">
        <x:f>'Base case'!B41</x:f>
        <x:v>6645.0061887415595</x:v>
      </x:c>
      <x:c r="D13" s="52" t="n">
        <x:f>'Strong case'!B41</x:f>
        <x:v>370110.4721434468</x:v>
      </x:c>
      <x:c r="E13" s="6"/>
      <x:c r="F13" s="6" t="n">
        <x:f>'Base case'!A13</x:f>
        <x:v>8</x:v>
      </x:c>
      <x:c r="G13" s="6" t="n">
        <x:f>'Base case'!N13</x:f>
        <x:v>376.86599553007625</x:v>
      </x:c>
      <x:c r="H13" s="6" t="n">
        <x:f>'Base case'!R13</x:f>
        <x:v>144.67414074998123</x:v>
      </x:c>
    </x:row>
    <x:row r="14" ht="31" customHeight="1">
      <x:c r="A14" s="15" t="str">
        <x:v>Peak funding required</x:v>
      </x:c>
      <x:c r="B14" s="52" t="n">
        <x:f>'Low case'!B43</x:f>
        <x:v>1026.0115883597161</x:v>
      </x:c>
      <x:c r="C14" s="52" t="n">
        <x:f>'Base case'!B43</x:f>
        <x:v>802.57</x:v>
      </x:c>
      <x:c r="D14" s="52" t="n">
        <x:f>'Strong case'!B43</x:f>
        <x:v>4520.08</x:v>
      </x:c>
      <x:c r="E14" s="6"/>
      <x:c r="F14" s="6" t="n">
        <x:f>'Base case'!A14</x:f>
        <x:v>9</x:v>
      </x:c>
      <x:c r="G14" s="6" t="n">
        <x:f>'Base case'!N14</x:f>
        <x:v>395.70929530658015</x:v>
      </x:c>
      <x:c r="H14" s="6" t="n">
        <x:f>'Base case'!R14</x:f>
        <x:v>145.9949161297523</x:v>
      </x:c>
    </x:row>
    <x:row r="15" ht="31" customHeight="1">
      <x:c r="A15" s="15" t="str">
        <x:v>Founder time value</x:v>
      </x:c>
      <x:c r="B15" s="52" t="n">
        <x:f>'Low case'!B44</x:f>
        <x:v>47680</x:v>
      </x:c>
      <x:c r="C15" s="52" t="n">
        <x:f>'Base case'!B44</x:f>
        <x:v>59200</x:v>
      </x:c>
      <x:c r="D15" s="52" t="n">
        <x:f>'Strong case'!B44</x:f>
        <x:v>97600</x:v>
      </x:c>
      <x:c r="E15" s="6"/>
      <x:c r="F15" s="6" t="n">
        <x:f>'Base case'!A15</x:f>
        <x:v>10</x:v>
      </x:c>
      <x:c r="G15" s="6" t="n">
        <x:f>'Base case'!N15</x:f>
        <x:v>415.49476007190924</x:v>
      </x:c>
      <x:c r="H15" s="6" t="n">
        <x:f>'Base case'!R15</x:f>
        <x:v>147.35824754482104</x:v>
      </x:c>
    </x:row>
    <x:row r="16" ht="31" customHeight="1">
      <x:c r="A16" s="15" t="str">
        <x:v>Economic result, incl. founder time</x:v>
      </x:c>
      <x:c r="B16" s="52" t="n">
        <x:f>'Low case'!B45</x:f>
        <x:v>-48693.28888585364</x:v>
      </x:c>
      <x:c r="C16" s="52" t="n">
        <x:f>'Base case'!B45</x:f>
        <x:v>-51732.34260639058</x:v>
      </x:c>
      <x:c r="D16" s="52" t="n">
        <x:f>'Strong case'!B45</x:f>
        <x:v>312052.9540250251</x:v>
      </x:c>
      <x:c r="E16" s="6"/>
      <x:c r="F16" s="6" t="n">
        <x:f>'Base case'!A16</x:f>
        <x:v>11</x:v>
      </x:c>
      <x:c r="G16" s="6" t="n">
        <x:f>'Base case'!N16</x:f>
        <x:v>436.2694980755047</x:v>
      </x:c>
      <x:c r="H16" s="6" t="n">
        <x:f>'Base case'!R16</x:f>
        <x:v>148.76720210629998</x:v>
      </x:c>
    </x:row>
    <x:row r="17" ht="31" customHeight="1">
      <x:c r="A17" s="15" t="str">
        <x:v>Net initial-purchase revenue / install</x:v>
      </x:c>
      <x:c r="B17" s="60" t="n">
        <x:f>'Low case'!B46</x:f>
        <x:v>0.0329181625</x:v>
      </x:c>
      <x:c r="C17" s="60" t="n">
        <x:f>'Base case'!B46</x:f>
        <x:v>0.14061160416666665</x:v>
      </x:c>
      <x:c r="D17" s="60" t="n">
        <x:f>'Strong case'!B46</x:f>
        <x:v>0.3636732083333333</x:v>
      </x:c>
      <x:c r="E17" s="6"/>
      <x:c r="F17" s="6" t="n">
        <x:f>'Base case'!A17</x:f>
        <x:v>12</x:v>
      </x:c>
      <x:c r="G17" s="6" t="n">
        <x:f>'Base case'!N17</x:f>
        <x:v>458.08297297927993</x:v>
      </x:c>
      <x:c r="H17" s="6" t="n">
        <x:f>'Base case'!R17</x:f>
        <x:v>150.22496270848333</x:v>
      </x:c>
    </x:row>
    <x:row r="18" ht="22" customHeight="1">
      <x:c r="A18" s="15"/>
      <x:c r="B18" s="6"/>
      <x:c r="C18" s="6"/>
      <x:c r="D18" s="6"/>
      <x:c r="E18" s="6"/>
      <x:c r="F18" s="6" t="n">
        <x:f>'Base case'!A18</x:f>
        <x:v>13</x:v>
      </x:c>
      <x:c r="G18" s="6" t="n">
        <x:f>'Base case'!N18</x:f>
        <x:v>480.9871216282438</x:v>
      </x:c>
      <x:c r="H18" s="6" t="n">
        <x:f>'Base case'!R18</x:f>
        <x:v>151.73483532090114</x:v>
      </x:c>
    </x:row>
    <x:row r="19" ht="22" customHeight="1">
      <x:c r="A19" s="15"/>
      <x:c r="B19" s="6"/>
      <x:c r="C19" s="6"/>
      <x:c r="D19" s="6"/>
      <x:c r="E19" s="6"/>
      <x:c r="F19" s="6" t="n">
        <x:f>'Base case'!A19</x:f>
        <x:v>14</x:v>
      </x:c>
      <x:c r="G19" s="6" t="n">
        <x:f>'Base case'!N19</x:f>
        <x:v>505.0364777096561</x:v>
      </x:c>
      <x:c r="H19" s="6" t="n">
        <x:f>'Base case'!R19</x:f>
        <x:v>153.30025658486008</x:v>
      </x:c>
    </x:row>
    <x:row r="20" ht="24" customHeight="1">
      <x:c r="A20" s="54" t="str">
        <x:v>These outcomes depend on unproven acquisition and conversion assumptions. Revenue-based results differ from collected cash. A positive result before labour does not mean the founder's time has been paid.</x:v>
      </x:c>
      <x:c r="B20" s="54"/>
      <x:c r="C20" s="54"/>
      <x:c r="D20" s="54"/>
      <x:c r="E20" s="6"/>
      <x:c r="F20" s="6" t="n">
        <x:f>'Base case'!A20</x:f>
        <x:v>15</x:v>
      </x:c>
      <x:c r="G20" s="6" t="n">
        <x:f>'Base case'!N20</x:f>
        <x:v>530.2883015951389</x:v>
      </x:c>
      <x:c r="H20" s="6" t="n">
        <x:f>'Base case'!R20</x:f>
        <x:v>154.9248017321004</x:v>
      </x:c>
    </x:row>
    <x:row r="21" ht="24" customHeight="1">
      <x:c r="A21" s="54"/>
      <x:c r="B21" s="54"/>
      <x:c r="C21" s="54"/>
      <x:c r="D21" s="54"/>
      <x:c r="E21" s="6"/>
      <x:c r="F21" s="6" t="n">
        <x:f>'Base case'!A21</x:f>
        <x:v>16</x:v>
      </x:c>
      <x:c r="G21" s="6" t="n">
        <x:f>'Base case'!N21</x:f>
        <x:v>556.8027166748958</x:v>
      </x:c>
      <x:c r="H21" s="6" t="n">
        <x:f>'Base case'!R21</x:f>
        <x:v>156.61219284398285</x:v>
      </x:c>
    </x:row>
    <x:row r="22" ht="24" customHeight="1">
      <x:c r="A22" s="54"/>
      <x:c r="B22" s="54"/>
      <x:c r="C22" s="54"/>
      <x:c r="D22" s="54"/>
      <x:c r="E22" s="6"/>
      <x:c r="F22" s="6" t="n">
        <x:f>'Base case'!A22</x:f>
        <x:v>17</x:v>
      </x:c>
      <x:c r="G22" s="6" t="n">
        <x:f>'Base case'!N22</x:f>
        <x:v>584.6428525086408</x:v>
      </x:c>
      <x:c r="H22" s="6" t="n">
        <x:f>'Base case'!R22</x:f>
        <x:v>158.36630747044833</x:v>
      </x:c>
    </x:row>
    <x:row r="23" ht="22" customHeight="1">
      <x:c r="A23" s="15"/>
      <x:c r="B23" s="6"/>
      <x:c r="C23" s="6"/>
      <x:c r="D23" s="6"/>
      <x:c r="E23" s="6"/>
      <x:c r="F23" s="6" t="n">
        <x:f>'Base case'!A23</x:f>
        <x:v>18</x:v>
      </x:c>
      <x:c r="G23" s="6" t="n">
        <x:f>'Base case'!N23</x:f>
        <x:v>613.8749951340727</x:v>
      </x:c>
      <x:c r="H23" s="6" t="n">
        <x:f>'Base case'!R23</x:f>
        <x:v>160.19118762886643</x:v>
      </x:c>
    </x:row>
    <x:row r="24" ht="22" customHeight="1">
      <x:c r="A24" s="15"/>
      <x:c r="B24" s="6"/>
      <x:c r="C24" s="6"/>
      <x:c r="D24" s="6"/>
      <x:c r="E24" s="6"/>
      <x:c r="F24" s="6" t="n">
        <x:f>'Base case'!A24</x:f>
        <x:v>19</x:v>
      </x:c>
      <x:c r="G24" s="6" t="n">
        <x:f>'Base case'!N24</x:f>
        <x:v>644.5687448907764</x:v>
      </x:c>
      <x:c r="H24" s="6" t="n">
        <x:f>'Base case'!R24</x:f>
        <x:v>162.09104920380963</x:v>
      </x:c>
    </x:row>
    <x:row r="25" ht="22" customHeight="1">
      <x:c r="A25" s="15"/>
      <x:c r="B25" s="6"/>
      <x:c r="C25" s="6"/>
      <x:c r="D25" s="6"/>
      <x:c r="E25" s="6"/>
      <x:c r="F25" s="6" t="n">
        <x:f>'Base case'!A25</x:f>
        <x:v>20</x:v>
      </x:c>
      <x:c r="G25" s="6" t="n">
        <x:f>'Base case'!N25</x:f>
        <x:v>676.7971821353153</x:v>
      </x:c>
      <x:c r="H25" s="6" t="n">
        <x:f>'Base case'!R25</x:f>
        <x:v>164.07029176975996</x:v>
      </x:c>
    </x:row>
    <x:row r="26" ht="22" customHeight="1">
      <x:c r="A26" s="6"/>
      <x:c r="B26" s="6"/>
      <x:c r="C26" s="6"/>
      <x:c r="D26" s="6"/>
      <x:c r="E26" s="6"/>
      <x:c r="F26" s="6" t="n">
        <x:f>'Base case'!A26</x:f>
        <x:v>21</x:v>
      </x:c>
      <x:c r="G26" s="6" t="n">
        <x:f>'Base case'!N26</x:f>
        <x:v>710.6370412420812</x:v>
      </x:c>
      <x:c r="H26" s="6" t="n">
        <x:f>'Base case'!R26</x:f>
        <x:v>166.13350885977744</x:v>
      </x:c>
    </x:row>
    <x:row r="27" ht="22" customHeight="1">
      <x:c r="A27" s="6"/>
      <x:c r="B27" s="6"/>
      <x:c r="C27" s="6"/>
      <x:c r="D27" s="6"/>
      <x:c r="E27" s="6"/>
      <x:c r="F27" s="6" t="n">
        <x:f>'Base case'!A27</x:f>
        <x:v>22</x:v>
      </x:c>
      <x:c r="G27" s="6" t="n">
        <x:f>'Base case'!N27</x:f>
        <x:v>746.1688933041852</x:v>
      </x:c>
      <x:c r="H27" s="6" t="n">
        <x:f>'Base case'!R27</x:f>
        <x:v>168.28549870423458</x:v>
      </x:c>
    </x:row>
    <x:row r="28" ht="22" customHeight="1">
      <x:c r="A28" s="6"/>
      <x:c r="B28" s="6"/>
      <x:c r="C28" s="6"/>
      <x:c r="D28" s="6"/>
      <x:c r="E28" s="6"/>
      <x:c r="F28" s="6" t="n">
        <x:f>'Base case'!A28</x:f>
        <x:v>23</x:v>
      </x:c>
      <x:c r="G28" s="6" t="n">
        <x:f>'Base case'!N28</x:f>
        <x:v>783.4773379693945</x:v>
      </x:c>
      <x:c r="H28" s="6" t="n">
        <x:f>'Base case'!R28</x:f>
        <x:v>170.53127546485587</x:v>
      </x:c>
    </x:row>
    <x:row r="29" ht="22" customHeight="1">
      <x:c r="A29" s="6"/>
      <x:c r="B29" s="6"/>
      <x:c r="C29" s="6"/>
      <x:c r="D29" s="6"/>
      <x:c r="E29" s="6"/>
      <x:c r="F29" s="6" t="n">
        <x:f>'Base case'!A29</x:f>
        <x:v>24</x:v>
      </x:c>
      <x:c r="G29" s="6" t="n">
        <x:f>'Base case'!N29</x:f>
        <x:v>822.6512048678642</x:v>
      </x:c>
      <x:c r="H29" s="6" t="n">
        <x:f>'Base case'!R29</x:f>
        <x:v>172.87608099049183</x:v>
      </x:c>
    </x:row>
    <x:row r="30" ht="22" customHeight="1">
      <x:c r="A30" s="6"/>
      <x:c r="B30" s="6"/>
      <x:c r="C30" s="6"/>
      <x:c r="D30" s="6"/>
      <x:c r="E30" s="6"/>
      <x:c r="F30" s="6"/>
      <x:c r="G30" s="6"/>
      <x:c r="H30" s="6"/>
    </x:row>
    <x:row r="31" ht="22" customHeight="1">
      <x:c r="A31" s="6"/>
      <x:c r="B31" s="6"/>
      <x:c r="C31" s="6"/>
      <x:c r="D31" s="6"/>
      <x:c r="E31" s="6"/>
      <x:c r="F31" s="6"/>
      <x:c r="G31" s="6"/>
      <x:c r="H31" s="6"/>
    </x:row>
    <x:row r="32" ht="22" customHeight="1">
      <x:c r="A32" s="6"/>
      <x:c r="B32" s="6"/>
      <x:c r="C32" s="6"/>
      <x:c r="D32" s="6"/>
      <x:c r="E32" s="6"/>
      <x:c r="F32" s="6"/>
      <x:c r="G32" s="6"/>
      <x:c r="H32" s="6"/>
    </x:row>
    <x:row r="33" ht="22" customHeight="1">
      <x:c r="A33" s="6"/>
      <x:c r="B33" s="6"/>
      <x:c r="C33" s="6"/>
      <x:c r="D33" s="6"/>
      <x:c r="E33" s="6"/>
      <x:c r="F33" s="6"/>
      <x:c r="G33" s="6"/>
      <x:c r="H33" s="6"/>
    </x:row>
    <x:row r="34" ht="22" customHeight="1">
      <x:c r="A34" s="6"/>
      <x:c r="B34" s="6"/>
      <x:c r="C34" s="6"/>
      <x:c r="D34" s="6"/>
      <x:c r="E34" s="6"/>
      <x:c r="F34" s="6"/>
      <x:c r="G34" s="6"/>
      <x:c r="H34" s="6"/>
    </x:row>
    <x:row r="35" ht="22" customHeight="1">
      <x:c r="A35" s="6"/>
      <x:c r="B35" s="6"/>
      <x:c r="C35" s="6"/>
      <x:c r="D35" s="6"/>
      <x:c r="E35" s="6"/>
      <x:c r="F35" s="6"/>
      <x:c r="G35" s="6"/>
      <x:c r="H35" s="6"/>
    </x:row>
    <x:row r="36" ht="22" customHeight="1">
      <x:c r="A36" s="6"/>
      <x:c r="B36" s="6"/>
      <x:c r="C36" s="6"/>
      <x:c r="D36" s="6"/>
      <x:c r="E36" s="6"/>
      <x:c r="F36" s="6"/>
      <x:c r="G36" s="6"/>
      <x:c r="H36" s="6"/>
    </x:row>
    <x:row r="37" ht="22" customHeight="1">
      <x:c r="A37" s="6"/>
      <x:c r="B37" s="6"/>
      <x:c r="C37" s="6"/>
      <x:c r="D37" s="6"/>
      <x:c r="E37" s="6"/>
      <x:c r="F37" s="6"/>
      <x:c r="G37" s="6"/>
      <x:c r="H37" s="6"/>
    </x:row>
    <x:row r="38" ht="22" customHeight="1">
      <x:c r="A38" s="6"/>
      <x:c r="B38" s="6"/>
      <x:c r="C38" s="6"/>
      <x:c r="D38" s="6"/>
      <x:c r="E38" s="6"/>
      <x:c r="F38" s="6"/>
      <x:c r="G38" s="6"/>
      <x:c r="H38" s="6"/>
    </x:row>
    <x:row r="39" ht="22" customHeight="1">
      <x:c r="A39" s="6"/>
      <x:c r="B39" s="6"/>
      <x:c r="C39" s="6"/>
      <x:c r="D39" s="6"/>
      <x:c r="E39" s="6"/>
      <x:c r="F39" s="6"/>
      <x:c r="G39" s="6"/>
      <x:c r="H39" s="6"/>
    </x:row>
    <x:row r="40" ht="22" customHeight="1">
      <x:c r="A40" s="6"/>
      <x:c r="B40" s="6"/>
      <x:c r="C40" s="6"/>
      <x:c r="D40" s="6"/>
      <x:c r="E40" s="6"/>
      <x:c r="F40" s="6"/>
      <x:c r="G40" s="6"/>
      <x:c r="H40" s="6"/>
    </x:row>
    <x:row r="41" ht="22" customHeight="1">
      <x:c r="A41" s="6"/>
      <x:c r="B41" s="6"/>
      <x:c r="C41" s="6"/>
      <x:c r="D41" s="6"/>
      <x:c r="E41" s="6"/>
      <x:c r="F41" s="6"/>
      <x:c r="G41" s="6"/>
      <x:c r="H41" s="6"/>
    </x:row>
    <x:row r="42" ht="22" customHeight="1">
      <x:c r="A42" s="6"/>
      <x:c r="B42" s="6"/>
      <x:c r="C42" s="6"/>
      <x:c r="D42" s="6"/>
      <x:c r="E42" s="6"/>
      <x:c r="F42" s="6"/>
      <x:c r="G42" s="6"/>
      <x:c r="H42" s="6"/>
    </x:row>
  </x:sheetData>
  <x:mergeCells>
    <x:mergeCell ref="A1:D2"/>
    <x:mergeCell ref="A3:D3"/>
    <x:mergeCell ref="A20:D22"/>
  </x:mergeCells>
  <x:pageMargins left="0.7" right="0.7" top="0.75" bottom="0.75" header="0.3" footer="0.3"/>
  <x:drawing xmlns:r="http://schemas.openxmlformats.org/officeDocument/2006/relationships" r:id="Rff64e694e3c942a6"/>
</x:worksheet>
</file>

<file path=xl/worksheets/sheet8.xml><?xml version="1.0" encoding="utf-8"?>
<x:worksheet xmlns:x="http://schemas.openxmlformats.org/spreadsheetml/2006/main">
  <x:sheetViews>
    <x:sheetView showGridLines="0" workbookViewId="0"/>
  </x:sheetViews>
  <x:sheetFormatPr defaultRowHeight="15"/>
  <x:cols>
    <x:col min="1" max="1" width="39" hidden="0" customWidth="1"/>
    <x:col min="2" max="2" width="21" hidden="0" customWidth="1"/>
    <x:col min="3" max="3" width="21" hidden="0" customWidth="1"/>
    <x:col min="4" max="4" width="21" hidden="0" customWidth="1"/>
  </x:cols>
  <x:sheetData>
    <x:row r="1" ht="22" customHeight="1">
      <x:c r="A1" s="12" t="str">
        <x:v>Unit economics &amp; acquisition discipline</x:v>
      </x:c>
      <x:c r="B1" s="12"/>
      <x:c r="C1" s="12"/>
      <x:c r="D1" s="12"/>
    </x:row>
    <x:row r="2" ht="22" customHeight="1">
      <x:c r="A2" s="14"/>
      <x:c r="B2" s="14"/>
      <x:c r="C2" s="14"/>
      <x:c r="D2" s="14"/>
    </x:row>
    <x:row r="3" ht="22" customHeight="1">
      <x:c r="A3" s="15"/>
      <x:c r="B3" s="15"/>
      <x:c r="C3" s="15"/>
      <x:c r="D3" s="15"/>
    </x:row>
    <x:row r="4" ht="22" customHeight="1">
      <x:c r="A4" s="6"/>
      <x:c r="B4" s="6"/>
      <x:c r="C4" s="6"/>
      <x:c r="D4" s="6"/>
    </x:row>
    <x:row r="5" ht="35" customHeight="1">
      <x:c r="A5" s="20" t="str">
        <x:v>METRIC</x:v>
      </x:c>
      <x:c r="B5" s="20" t="str">
        <x:v>LOW</x:v>
      </x:c>
      <x:c r="C5" s="20" t="str">
        <x:v>BASE</x:v>
      </x:c>
      <x:c r="D5" s="20" t="str">
        <x:v>STRONG</x:v>
      </x:c>
    </x:row>
    <x:row r="6" ht="31" customHeight="1">
      <x:c r="A6" s="15" t="str">
        <x:v>Net proceeds / Creator purchase</x:v>
      </x:c>
      <x:c r="B6" s="60" t="n">
        <x:f>'Assumptions'!$B$9/(1+'Assumptions'!$B$12)*(1-'Assumptions'!$B$13)*(1-'Assumptions'!$B$14)</x:f>
        <x:v>4.802712499999999</x:v>
      </x:c>
      <x:c r="C6" s="60" t="n">
        <x:f>'Assumptions'!$C$9/(1+'Assumptions'!$C$12)*(1-'Assumptions'!$C$13)*(1-'Assumptions'!$C$14)</x:f>
        <x:v>4.802712499999999</x:v>
      </x:c>
      <x:c r="D6" s="60" t="n">
        <x:f>'Assumptions'!$D$9/(1+'Assumptions'!$D$12)*(1-'Assumptions'!$D$13)*(1-'Assumptions'!$D$14)</x:f>
        <x:v>4.802712499999999</x:v>
      </x:c>
    </x:row>
    <x:row r="7" ht="31" customHeight="1">
      <x:c r="A7" s="15" t="str">
        <x:v>Net proceeds / cosmetic basket</x:v>
      </x:c>
      <x:c r="B7" s="60" t="n">
        <x:f>'Assumptions'!$B$11/(1+'Assumptions'!$B$12)*(1-'Assumptions'!$B$13)*(1-'Assumptions'!$B$14)</x:f>
        <x:v>2.7414625</x:v>
      </x:c>
      <x:c r="C7" s="60" t="n">
        <x:f>'Assumptions'!$C$11/(1+'Assumptions'!$C$12)*(1-'Assumptions'!$C$13)*(1-'Assumptions'!$C$14)</x:f>
        <x:v>3.428545833333334</x:v>
      </x:c>
      <x:c r="D7" s="60" t="n">
        <x:f>'Assumptions'!$D$11/(1+'Assumptions'!$D$12)*(1-'Assumptions'!$D$13)*(1-'Assumptions'!$D$14)</x:f>
        <x:v>5.489795833333334</x:v>
      </x:c>
    </x:row>
    <x:row r="8" ht="31" customHeight="1">
      <x:c r="A8" s="15" t="str">
        <x:v>Creator revenue / acquired install</x:v>
      </x:c>
      <x:c r="B8" s="60" t="n">
        <x:f>B6*'Assumptions'!$B$8</x:f>
        <x:v>0.019210849999999998</x:v>
      </x:c>
      <x:c r="C8" s="60" t="n">
        <x:f>C6*'Assumptions'!$C$8</x:f>
        <x:v>0.07204068749999999</x:v>
      </x:c>
      <x:c r="D8" s="60" t="n">
        <x:f>D6*'Assumptions'!$D$8</x:f>
        <x:v>0.14408137499999998</x:v>
      </x:c>
    </x:row>
    <x:row r="9" ht="31" customHeight="1">
      <x:c r="A9" s="15" t="str">
        <x:v>Cosmetic revenue / acquired install</x:v>
      </x:c>
      <x:c r="B9" s="60" t="n">
        <x:f>B7*'Assumptions'!$B$10</x:f>
        <x:v>0.013707312499999999</x:v>
      </x:c>
      <x:c r="C9" s="60" t="n">
        <x:f>C7*'Assumptions'!$C$10</x:f>
        <x:v>0.06857091666666669</x:v>
      </x:c>
      <x:c r="D9" s="60" t="n">
        <x:f>D7*'Assumptions'!$D$10</x:f>
        <x:v>0.21959183333333335</x:v>
      </x:c>
    </x:row>
    <x:row r="10" ht="31" customHeight="1">
      <x:c r="A10" s="24" t="str">
        <x:v>Combined net purchase revenue / install</x:v>
      </x:c>
      <x:c r="B10" s="62" t="n">
        <x:f>SUM(B8:B9)</x:f>
        <x:v>0.0329181625</x:v>
      </x:c>
      <x:c r="C10" s="62" t="n">
        <x:f>SUM(C8:C9)</x:f>
        <x:v>0.14061160416666668</x:v>
      </x:c>
      <x:c r="D10" s="62" t="n">
        <x:f>SUM(D8:D9)</x:f>
        <x:v>0.36367320833333333</x:v>
      </x:c>
    </x:row>
    <x:row r="11" ht="31" customHeight="1">
      <x:c r="A11" s="15" t="str">
        <x:v>24m cloud / support / marketing per install</x:v>
      </x:c>
      <x:c r="B11" s="60" t="n">
        <x:f>'Low case'!B36/'Low case'!B33</x:f>
        <x:v>0.1604990073788217</x:v>
      </x:c>
      <x:c r="C11" s="60" t="n">
        <x:f>'Base case'!B36/'Base case'!B33</x:f>
        <x:v>0.041049321764972675</x:v>
      </x:c>
      <x:c r="D11" s="60" t="n">
        <x:f>'Strong case'!B36/'Strong case'!B33</x:f>
        <x:v>0.022633384474133683</x:v>
      </x:c>
    </x:row>
    <x:row r="12" ht="31" customHeight="1">
      <x:c r="A12" s="15" t="str">
        <x:v>Contribution / install before founder time</x:v>
      </x:c>
      <x:c r="B12" s="60" t="n">
        <x:f>'Low case'!B39/'Low case'!B33</x:f>
        <x:v>-0.1332316700501291</x:v>
      </x:c>
      <x:c r="C12" s="60" t="n">
        <x:f>'Base case'!B39/'Base case'!B33</x:f>
        <x:v>0.08390249407343328</x:v>
      </x:c>
      <x:c r="D12" s="60" t="n">
        <x:f>'Strong case'!B39/'Strong case'!B33</x:f>
        <x:v>0.3067883108083703</x:v>
      </x:c>
    </x:row>
    <x:row r="13" ht="31" customHeight="1">
      <x:c r="A13" s="15" t="str">
        <x:v>Founder-time-inclusive result / install</x:v>
      </x:c>
      <x:c r="B13" s="60" t="n">
        <x:f>'Low case'!B45/'Low case'!B33</x:f>
        <x:v>-6.4024073381899465</x:v>
      </x:c>
      <x:c r="C13" s="60" t="n">
        <x:f>'Base case'!B45/'Base case'!B33</x:f>
        <x:v>-0.5812361682061019</x:v>
      </x:c>
      <x:c r="D13" s="60" t="n">
        <x:f>'Strong case'!B45/'Strong case'!B33</x:f>
        <x:v>0.2336958581830493</x:v>
      </x:c>
    </x:row>
    <x:row r="14" ht="31" customHeight="1">
      <x:c r="A14" s="15" t="str">
        <x:v>Theoretical CPI ceiling before safety margin</x:v>
      </x:c>
      <x:c r="B14" s="60" t="n">
        <x:f>MAX(0,B10-B11)</x:f>
        <x:v>0</x:v>
      </x:c>
      <x:c r="C14" s="60" t="n">
        <x:f>MAX(0,C10-C11)</x:f>
        <x:v>0.09956228240169401</x:v>
      </x:c>
      <x:c r="D14" s="60" t="n">
        <x:f>MAX(0,D10-D11)</x:f>
        <x:v>0.3410398238591996</x:v>
      </x:c>
    </x:row>
    <x:row r="15" ht="22" customHeight="1">
      <x:c r="A15" s="15"/>
      <x:c r="B15" s="6"/>
      <x:c r="C15" s="6"/>
      <x:c r="D15" s="6"/>
    </x:row>
    <x:row r="16" ht="22" customHeight="1">
      <x:c r="A16" s="15"/>
      <x:c r="B16" s="6"/>
      <x:c r="C16" s="6"/>
      <x:c r="D16" s="6"/>
    </x:row>
    <x:row r="17" ht="24" customHeight="1">
      <x:c r="A17" s="54" t="str">
        <x:v>CPI ceiling is a coarse upper bound, NOT a recommended bid. It excludes founder time and assumes future paid cohorts behave like organic users. Use observed 90/180-day net contribution, not this planning model, to authorize marketing.</x:v>
      </x:c>
      <x:c r="B17" s="54"/>
      <x:c r="C17" s="54"/>
      <x:c r="D17" s="54"/>
    </x:row>
    <x:row r="18" ht="24" customHeight="1">
      <x:c r="A18" s="54"/>
      <x:c r="B18" s="54"/>
      <x:c r="C18" s="54"/>
      <x:c r="D18" s="54"/>
    </x:row>
    <x:row r="19" ht="24" customHeight="1">
      <x:c r="A19" s="54"/>
      <x:c r="B19" s="54"/>
      <x:c r="C19" s="54"/>
      <x:c r="D19" s="54"/>
    </x:row>
    <x:row r="20" ht="22" customHeight="1">
      <x:c r="A20" s="15"/>
      <x:c r="B20" s="6"/>
      <x:c r="C20" s="6"/>
      <x:c r="D20" s="6"/>
    </x:row>
    <x:row r="21" ht="22" customHeight="1">
      <x:c r="A21" s="15"/>
      <x:c r="B21" s="6"/>
      <x:c r="C21" s="6"/>
      <x:c r="D21" s="6"/>
    </x:row>
    <x:row r="22" ht="22" customHeight="1">
      <x:c r="A22" s="15" t="str">
        <x:v>BASE FEE SENSITIVITY</x:v>
      </x:c>
      <x:c r="B22" s="6" t="str">
        <x:v>15% TOTAL</x:v>
      </x:c>
      <x:c r="C22" s="6" t="str">
        <x:v>20% TOTAL</x:v>
      </x:c>
      <x:c r="D22" s="6" t="str">
        <x:v>30% TOTAL</x:v>
      </x:c>
    </x:row>
    <x:row r="23" ht="22" customHeight="1">
      <x:c r="A23" s="15"/>
      <x:c r="B23" s="32" t="n">
        <x:v>0.15</x:v>
      </x:c>
      <x:c r="C23" s="32" t="n">
        <x:v>0.2</x:v>
      </x:c>
      <x:c r="D23" s="32" t="n">
        <x:v>0.3</x:v>
      </x:c>
    </x:row>
    <x:row r="24" ht="22" customHeight="1">
      <x:c r="A24" s="15" t="str">
        <x:v>Net initial-purchase revenue / install</x:v>
      </x:c>
      <x:c r="B24" s="48" t="n">
        <x:f>('Assumptions'!$C$8*'Assumptions'!$C$9+'Assumptions'!$C$10*'Assumptions'!$C$11)/(1+'Assumptions'!$C$12)*(1-'Assumptions'!$C$13)*(1-B23)</x:f>
        <x:v>0.14061160416666665</x:v>
      </x:c>
      <x:c r="C24" s="48" t="n">
        <x:f>('Assumptions'!$C$8*'Assumptions'!$C$9+'Assumptions'!$C$10*'Assumptions'!$C$11)/(1+'Assumptions'!$C$12)*(1-'Assumptions'!$C$13)*(1-C23)</x:f>
        <x:v>0.13234033333333334</x:v>
      </x:c>
      <x:c r="D24" s="48" t="n">
        <x:f>('Assumptions'!$C$8*'Assumptions'!$C$9+'Assumptions'!$C$10*'Assumptions'!$C$11)/(1+'Assumptions'!$C$12)*(1-'Assumptions'!$C$13)*(1-D23)</x:f>
        <x:v>0.11579779166666665</x:v>
      </x:c>
    </x:row>
    <x:row r="25" ht="22" customHeight="1">
      <x:c r="A25" s="15" t="str">
        <x:v>Net proceeds / Creator purchase</x:v>
      </x:c>
      <x:c r="B25" s="48" t="n">
        <x:f>'Assumptions'!$C$9/(1+'Assumptions'!$C$12)*(1-'Assumptions'!$C$13)*(1-B23)</x:f>
        <x:v>4.802712499999999</x:v>
      </x:c>
      <x:c r="C25" s="48" t="n">
        <x:f>'Assumptions'!$C$9/(1+'Assumptions'!$C$12)*(1-'Assumptions'!$C$13)*(1-C23)</x:f>
        <x:v>4.5202</x:v>
      </x:c>
      <x:c r="D25" s="48" t="n">
        <x:f>'Assumptions'!$C$9/(1+'Assumptions'!$C$12)*(1-'Assumptions'!$C$13)*(1-D23)</x:f>
        <x:v>3.9551749999999997</x:v>
      </x:c>
    </x:row>
  </x:sheetData>
  <x:mergeCells>
    <x:mergeCell ref="A1:D2"/>
    <x:mergeCell ref="A17:D19"/>
  </x:mergeCells>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58" hidden="0" customWidth="1"/>
    <x:col min="4" max="4" width="58" hidden="0" customWidth="1"/>
    <x:col min="5" max="5" width="16" hidden="0" customWidth="1"/>
  </x:cols>
  <x:sheetData>
    <x:row r="1" ht="30" customHeight="1">
      <x:c r="A1" s="44" t="str">
        <x:v>ID</x:v>
      </x:c>
      <x:c r="B1" s="44" t="str">
        <x:v>SOURCE</x:v>
      </x:c>
      <x:c r="C1" s="44" t="str">
        <x:v>USE / LIMITATION</x:v>
      </x:c>
      <x:c r="D1" s="44" t="str">
        <x:v>URL</x:v>
      </x:c>
      <x:c r="E1" s="44" t="str">
        <x:v>CHECKED</x:v>
      </x:c>
    </x:row>
    <x:row r="2" ht="60" customHeight="1">
      <x:c r="A2" s="15" t="str">
        <x:v>F01</x:v>
      </x:c>
      <x:c r="B2" s="15" t="str">
        <x:v>Google Play fees</x:v>
      </x:c>
      <x:c r="C2" s="15" t="str">
        <x:v>Official fees vary; baseline is a total 15% planning rate.</x:v>
      </x:c>
      <x:c r="D2" s="15" t="str">
        <x:v>https://support.google.com/googleplay/android-developer/answer/112622?hl=en</x:v>
      </x:c>
      <x:c r="E2" s="15" t="str">
        <x:v>2026-09-11</x:v>
      </x:c>
    </x:row>
    <x:row r="3" ht="60" customHeight="1">
      <x:c r="A3" s="15" t="str">
        <x:v>F02</x:v>
      </x:c>
      <x:c r="B3" s="15" t="str">
        <x:v>Play registration</x:v>
      </x:c>
      <x:c r="C3" s="15" t="str">
        <x:v>USD 25 one-time; EUR 30 in model is a budget, not FX.</x:v>
      </x:c>
      <x:c r="D3" s="15" t="str">
        <x:v>https://support.google.com/googleplay/android-developer/answer/6112435?hl=en</x:v>
      </x:c>
      <x:c r="E3" s="15" t="str">
        <x:v>2026-09-11</x:v>
      </x:c>
    </x:row>
    <x:row r="4" ht="60" customHeight="1">
      <x:c r="A4" s="15" t="str">
        <x:v>F03</x:v>
      </x:c>
      <x:c r="B4" s="15" t="str">
        <x:v>Supabase</x:v>
      </x:c>
      <x:c r="C4" s="15" t="str">
        <x:v>Free: 500 MB DB, 1 GB storage, 5 GB egress. Pro from USD 25/month. Verify production capacity.</x:v>
      </x:c>
      <x:c r="D4" s="15" t="str">
        <x:v>https://supabase.com/pricing</x:v>
      </x:c>
      <x:c r="E4" s="15" t="str">
        <x:v>2026-09-11</x:v>
      </x:c>
    </x:row>
    <x:row r="5" ht="60" customHeight="1">
      <x:c r="A5" s="15" t="str">
        <x:v>F04</x:v>
      </x:c>
      <x:c r="B5" s="15" t="str">
        <x:v>Cloudflare R2</x:v>
      </x:c>
      <x:c r="C5" s="15" t="str">
        <x:v>Optional later blob store; Standard USD 0.015/GB-month, operation fees; egress free. Not a full backend.</x:v>
      </x:c>
      <x:c r="D5" s="15" t="str">
        <x:v>https://developers.cloudflare.com/r2/pricing/</x:v>
      </x:c>
      <x:c r="E5" s="15" t="str">
        <x:v>2026-09-11</x:v>
      </x:c>
    </x:row>
    <x:row r="6" ht="60" customHeight="1">
      <x:c r="A6" s="15" t="str">
        <x:v>F05</x:v>
      </x:c>
      <x:c r="B6" s="15" t="str">
        <x:v>Godot license</x:v>
      </x:c>
      <x:c r="C6" s="15" t="str">
        <x:v>Engine is MIT-licensed; include required notices.</x:v>
      </x:c>
      <x:c r="D6" s="15" t="str">
        <x:v>https://godotengine.org/license/</x:v>
      </x:c>
      <x:c r="E6" s="15" t="str">
        <x:v>2026-09-11</x:v>
      </x:c>
    </x:row>
    <x:row r="7" ht="60" customHeight="1">
      <x:c r="A7" s="15" t="str">
        <x:v>F06</x:v>
      </x:c>
      <x:c r="B7" s="15" t="str">
        <x:v>Play Integrity</x:v>
      </x:c>
      <x:c r="C7" s="15" t="str">
        <x:v>Integrity adds signals, not proof of legitimate driving. Default request quota must be reviewed at scale.</x:v>
      </x:c>
      <x:c r="D7" s="15" t="str">
        <x:v>https://developer.android.com/google/play/integrity/overview</x:v>
      </x:c>
      <x:c r="E7" s="15" t="str">
        <x:v>2026-09-11</x:v>
      </x:c>
    </x:row>
    <x:row r="8" ht="60" customHeight="1">
      <x:c r="A8" s="15" t="str">
        <x:v>F07</x:v>
      </x:c>
      <x:c r="B8" s="15" t="str">
        <x:v>UGC policy</x:v>
      </x:c>
      <x:c r="C8" s="15" t="str">
        <x:v>Reporting, moderation, user controls and policies create operating responsibilities.</x:v>
      </x:c>
      <x:c r="D8" s="15" t="str">
        <x:v>https://support.google.com/googleplay/android-developer/answer/9876937?hl=en</x:v>
      </x:c>
      <x:c r="E8" s="15" t="str">
        <x:v>2026-09-11</x:v>
      </x:c>
    </x:row>
    <x:row r="9" ht="60" customHeight="1">
      <x:c r="A9" s="15" t="str">
        <x:v>F08</x:v>
      </x:c>
      <x:c r="B9" s="15" t="str">
        <x:v>All non-sourced inputs</x:v>
      </x:c>
      <x:c r="C9" s="15" t="str">
        <x:v>Author's explicit planning assumptions. Replace with measured game data; not external facts.</x:v>
      </x:c>
      <x:c r="D9" s="15" t="str">
        <x:v>User concept + planning assumptions</x:v>
      </x:c>
      <x:c r="E9" s="15" t="str">
        <x:v>2026-09-11</x:v>
      </x:c>
    </x:row>
  </x:sheetData>
  <x:pageMargins left="0.7" right="0.7" top="0.75" bottom="0.75" header="0.3" footer="0.3"/>
</x:worksheet>
</file>